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IC\"/>
    </mc:Choice>
  </mc:AlternateContent>
  <xr:revisionPtr revIDLastSave="0" documentId="13_ncr:1_{7105DAEE-F761-4B67-BEB6-D3164D083163}" xr6:coauthVersionLast="47" xr6:coauthVersionMax="47" xr10:uidLastSave="{00000000-0000-0000-0000-000000000000}"/>
  <bookViews>
    <workbookView xWindow="-120" yWindow="-120" windowWidth="38640" windowHeight="15990" activeTab="7" xr2:uid="{28813CBB-3E3F-416C-B402-C3666D756E63}"/>
  </bookViews>
  <sheets>
    <sheet name="Heuristic" sheetId="2" r:id="rId1"/>
    <sheet name="MetaHeuristic" sheetId="3" r:id="rId2"/>
    <sheet name="Mathematical" sheetId="4" r:id="rId3"/>
    <sheet name="Controle" sheetId="1" r:id="rId4"/>
    <sheet name="Atendimento" sheetId="8" r:id="rId5"/>
    <sheet name="Custo Total" sheetId="7" r:id="rId6"/>
    <sheet name="Tempo de Execução" sheetId="5" r:id="rId7"/>
    <sheet name="TR médio" sheetId="9" r:id="rId8"/>
  </sheets>
  <definedNames>
    <definedName name="_xlnm._FilterDatabase" localSheetId="4" hidden="1">Atendimento!$A$1:$H$1</definedName>
    <definedName name="_xlnm._FilterDatabase" localSheetId="3" hidden="1">Controle!$D$1:$K$21</definedName>
    <definedName name="_xlnm._FilterDatabase" localSheetId="5" hidden="1">'Custo Total'!$A$1:$H$1</definedName>
    <definedName name="_xlnm._FilterDatabase" localSheetId="6" hidden="1">'Tempo de Execução'!$A$1:$H$1</definedName>
    <definedName name="_xlnm._FilterDatabase" localSheetId="7" hidden="1">'TR médio'!$A$1:$H$1</definedName>
    <definedName name="DadosExternos_1" localSheetId="0" hidden="1">Heuristic!$A$1:$R$364</definedName>
    <definedName name="DadosExternos_1" localSheetId="2" hidden="1">Mathematical!$A$1:$U$4</definedName>
    <definedName name="DadosExternos_1" localSheetId="1" hidden="1">MetaHeuristic!$A$1:$U$721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7" l="1"/>
  <c r="AA5" i="7"/>
  <c r="Z6" i="7"/>
  <c r="AA6" i="7"/>
  <c r="Y6" i="7"/>
  <c r="Y5" i="7"/>
  <c r="U4" i="8"/>
  <c r="U3" i="8"/>
  <c r="W6" i="5"/>
  <c r="W5" i="7"/>
  <c r="U5" i="7"/>
  <c r="S7" i="9"/>
  <c r="R7" i="9"/>
  <c r="Q7" i="9"/>
  <c r="S6" i="9"/>
  <c r="R6" i="9"/>
  <c r="Q6" i="9"/>
  <c r="P6" i="9"/>
  <c r="O6" i="9"/>
  <c r="N6" i="9"/>
  <c r="M6" i="9"/>
  <c r="L6" i="9"/>
  <c r="K6" i="9"/>
  <c r="S5" i="9"/>
  <c r="R5" i="9"/>
  <c r="Q5" i="9"/>
  <c r="P5" i="9"/>
  <c r="O5" i="9"/>
  <c r="N5" i="9"/>
  <c r="M5" i="9"/>
  <c r="L5" i="9"/>
  <c r="K5" i="9"/>
  <c r="S4" i="9"/>
  <c r="R4" i="9"/>
  <c r="Q4" i="9"/>
  <c r="P4" i="9"/>
  <c r="O4" i="9"/>
  <c r="N4" i="9"/>
  <c r="M4" i="9"/>
  <c r="L4" i="9"/>
  <c r="K4" i="9"/>
  <c r="S3" i="9"/>
  <c r="R3" i="9"/>
  <c r="Q3" i="9"/>
  <c r="P3" i="9"/>
  <c r="O3" i="9"/>
  <c r="N3" i="9"/>
  <c r="M3" i="9"/>
  <c r="L3" i="9"/>
  <c r="K3" i="9"/>
  <c r="S2" i="9"/>
  <c r="R2" i="9"/>
  <c r="Q2" i="9"/>
  <c r="S7" i="5"/>
  <c r="R7" i="5"/>
  <c r="Q7" i="5"/>
  <c r="S6" i="5"/>
  <c r="R6" i="5"/>
  <c r="Q6" i="5"/>
  <c r="U6" i="5" s="1"/>
  <c r="P6" i="5"/>
  <c r="O6" i="5"/>
  <c r="N6" i="5"/>
  <c r="M6" i="5"/>
  <c r="L6" i="5"/>
  <c r="V6" i="5" s="1"/>
  <c r="K6" i="5"/>
  <c r="S5" i="5"/>
  <c r="R5" i="5"/>
  <c r="Q5" i="5"/>
  <c r="P5" i="5"/>
  <c r="O5" i="5"/>
  <c r="N5" i="5"/>
  <c r="M5" i="5"/>
  <c r="W5" i="5" s="1"/>
  <c r="L5" i="5"/>
  <c r="V5" i="5" s="1"/>
  <c r="K5" i="5"/>
  <c r="U5" i="5" s="1"/>
  <c r="S4" i="5"/>
  <c r="R4" i="5"/>
  <c r="Q4" i="5"/>
  <c r="P4" i="5"/>
  <c r="O4" i="5"/>
  <c r="N4" i="5"/>
  <c r="M4" i="5"/>
  <c r="W4" i="5" s="1"/>
  <c r="L4" i="5"/>
  <c r="V4" i="5" s="1"/>
  <c r="K4" i="5"/>
  <c r="U4" i="5" s="1"/>
  <c r="S3" i="5"/>
  <c r="R3" i="5"/>
  <c r="Q3" i="5"/>
  <c r="P3" i="5"/>
  <c r="O3" i="5"/>
  <c r="N3" i="5"/>
  <c r="M3" i="5"/>
  <c r="W3" i="5" s="1"/>
  <c r="L3" i="5"/>
  <c r="V3" i="5" s="1"/>
  <c r="K3" i="5"/>
  <c r="S2" i="5"/>
  <c r="R2" i="5"/>
  <c r="Q2" i="5"/>
  <c r="K3" i="8"/>
  <c r="K4" i="8"/>
  <c r="K5" i="8"/>
  <c r="U5" i="8" s="1"/>
  <c r="K6" i="8"/>
  <c r="U6" i="8" s="1"/>
  <c r="L3" i="8"/>
  <c r="V3" i="8" s="1"/>
  <c r="L4" i="8"/>
  <c r="V4" i="8" s="1"/>
  <c r="L5" i="8"/>
  <c r="V5" i="8" s="1"/>
  <c r="L6" i="8"/>
  <c r="V6" i="8" s="1"/>
  <c r="M3" i="8"/>
  <c r="W3" i="8" s="1"/>
  <c r="M4" i="8"/>
  <c r="W4" i="8" s="1"/>
  <c r="M5" i="8"/>
  <c r="W5" i="8" s="1"/>
  <c r="M6" i="8"/>
  <c r="W6" i="8" s="1"/>
  <c r="Q2" i="8"/>
  <c r="R2" i="8"/>
  <c r="S2" i="8"/>
  <c r="Q3" i="8"/>
  <c r="R3" i="8"/>
  <c r="S3" i="8"/>
  <c r="Q4" i="8"/>
  <c r="R4" i="8"/>
  <c r="S4" i="8"/>
  <c r="Q5" i="8"/>
  <c r="R5" i="8"/>
  <c r="S5" i="8"/>
  <c r="Q6" i="8"/>
  <c r="R6" i="8"/>
  <c r="S6" i="8"/>
  <c r="Q7" i="8"/>
  <c r="R7" i="8"/>
  <c r="S7" i="8"/>
  <c r="N3" i="8"/>
  <c r="N4" i="8"/>
  <c r="N5" i="8"/>
  <c r="N6" i="8"/>
  <c r="O3" i="8"/>
  <c r="O4" i="8"/>
  <c r="O5" i="8"/>
  <c r="O6" i="8"/>
  <c r="P3" i="8"/>
  <c r="P4" i="8"/>
  <c r="P5" i="8"/>
  <c r="P6" i="8"/>
  <c r="S7" i="7"/>
  <c r="R7" i="7"/>
  <c r="Q7" i="7"/>
  <c r="S6" i="7"/>
  <c r="W6" i="7" s="1"/>
  <c r="R6" i="7"/>
  <c r="V6" i="7" s="1"/>
  <c r="Q6" i="7"/>
  <c r="U6" i="7" s="1"/>
  <c r="P6" i="7"/>
  <c r="O6" i="7"/>
  <c r="N6" i="7"/>
  <c r="M6" i="7"/>
  <c r="L6" i="7"/>
  <c r="K6" i="7"/>
  <c r="S5" i="7"/>
  <c r="R5" i="7"/>
  <c r="V5" i="7" s="1"/>
  <c r="Q5" i="7"/>
  <c r="P5" i="7"/>
  <c r="O5" i="7"/>
  <c r="N5" i="7"/>
  <c r="M5" i="7"/>
  <c r="L5" i="7"/>
  <c r="K5" i="7"/>
  <c r="S4" i="7"/>
  <c r="W4" i="7" s="1"/>
  <c r="R4" i="7"/>
  <c r="V4" i="7" s="1"/>
  <c r="Q4" i="7"/>
  <c r="U4" i="7" s="1"/>
  <c r="P4" i="7"/>
  <c r="O4" i="7"/>
  <c r="N4" i="7"/>
  <c r="M4" i="7"/>
  <c r="L4" i="7"/>
  <c r="K4" i="7"/>
  <c r="S3" i="7"/>
  <c r="W3" i="7" s="1"/>
  <c r="R3" i="7"/>
  <c r="V3" i="7" s="1"/>
  <c r="Q3" i="7"/>
  <c r="U3" i="7" s="1"/>
  <c r="P3" i="7"/>
  <c r="O3" i="7"/>
  <c r="N3" i="7"/>
  <c r="M3" i="7"/>
  <c r="L3" i="7"/>
  <c r="K3" i="7"/>
  <c r="S2" i="7"/>
  <c r="R2" i="7"/>
  <c r="Q2" i="7"/>
  <c r="U3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AED455-1699-47F8-9D5A-9A4F66EDC7C8}" keepAlive="1" name="Consulta - Heuristic" description="Conexão com a consulta 'Heuristic' na pasta de trabalho." type="5" refreshedVersion="8" background="1" saveData="1">
    <dbPr connection="Provider=Microsoft.Mashup.OleDb.1;Data Source=$Workbook$;Location=Heuristic;Extended Properties=&quot;&quot;" command="SELECT * FROM [Heuristic]"/>
  </connection>
  <connection id="2" xr16:uid="{CF5568B2-FCBD-4C1E-B528-9D887790C684}" keepAlive="1" name="Consulta - Mathematical" description="Conexão com a consulta 'Mathematical' na pasta de trabalho." type="5" refreshedVersion="8" background="1" saveData="1">
    <dbPr connection="Provider=Microsoft.Mashup.OleDb.1;Data Source=$Workbook$;Location=Mathematical;Extended Properties=&quot;&quot;" command="SELECT * FROM [Mathematical]"/>
  </connection>
  <connection id="3" xr16:uid="{92F8E78F-0F99-4DAA-B306-88F57C540969}" keepAlive="1" name="Consulta - MetaHeuristic" description="Conexão com a consulta 'MetaHeuristic' na pasta de trabalho." type="5" refreshedVersion="8" background="1" saveData="1">
    <dbPr connection="Provider=Microsoft.Mashup.OleDb.1;Data Source=$Workbook$;Location=MetaHeuristic;Extended Properties=&quot;&quot;" command="SELECT * FROM [MetaHeuristic]"/>
  </connection>
  <connection id="4" xr16:uid="{E8BE907E-5322-4197-9FDA-ED33CD21DE80}" keepAlive="1" name="Query - Parameter1(1)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FBC353B0-6B6D-40F1-99E9-E7444D6302A5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6" xr16:uid="{BDAFBCF3-B080-4153-A1BA-295CFE032083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7" xr16:uid="{78DD6C81-35E2-485C-81ED-D2674945054E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8" xr16:uid="{EB143CEC-9770-4251-B8D8-C2511017A254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9" xr16:uid="{0609A34D-AD9C-458D-9A49-899D4BEAA07D}" keepAlive="1" name="Query - Sample File(1)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0" xr16:uid="{ECDC9A39-CC7F-4C65-BC0D-A5B3452BB6F0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11" xr16:uid="{495B4D17-2470-483A-847B-032E3510A8A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12" xr16:uid="{51544BFC-0FFE-4AC6-9477-590F2C0069BC}" keepAlive="1" name="Query - Transform File(1)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3" xr16:uid="{68E91F48-7C6C-4166-9157-8FEBB52D92EF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14" xr16:uid="{AB146C43-1939-4184-ACDB-DC82AFAFC706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15" xr16:uid="{FE55B66E-7320-4FEB-A373-26BA352A0051}" keepAlive="1" name="Query - Transform Sample File(1)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<sst xmlns="http://schemas.openxmlformats.org/spreadsheetml/2006/main" count="2037" uniqueCount="55">
  <si>
    <t>Devices</t>
  </si>
  <si>
    <t>ExeTime</t>
  </si>
  <si>
    <t>DCovered</t>
  </si>
  <si>
    <t>DServed</t>
  </si>
  <si>
    <t>DServedEC</t>
  </si>
  <si>
    <t>DServedCC</t>
  </si>
  <si>
    <t>SUsed</t>
  </si>
  <si>
    <t>SUsedEC</t>
  </si>
  <si>
    <t>SUsedCC</t>
  </si>
  <si>
    <t>TotalCost</t>
  </si>
  <si>
    <t>CostNCoverage</t>
  </si>
  <si>
    <t>CostNService</t>
  </si>
  <si>
    <t>CostS</t>
  </si>
  <si>
    <t>Avg.RTime</t>
  </si>
  <si>
    <t>Temperature</t>
  </si>
  <si>
    <t>Alpha</t>
  </si>
  <si>
    <t>Heuristic</t>
  </si>
  <si>
    <t>Greedy_DescAsc</t>
  </si>
  <si>
    <t>Random</t>
  </si>
  <si>
    <t>Status</t>
  </si>
  <si>
    <t>OF</t>
  </si>
  <si>
    <t>GAP</t>
  </si>
  <si>
    <t>Feasible</t>
  </si>
  <si>
    <t>Optimal</t>
  </si>
  <si>
    <t>Dispositivos</t>
  </si>
  <si>
    <t>Nível de Confiança (%)</t>
  </si>
  <si>
    <t>Algoritmo</t>
  </si>
  <si>
    <t>Média</t>
  </si>
  <si>
    <t>Desvio Padrão</t>
  </si>
  <si>
    <t>Erro Padrão</t>
  </si>
  <si>
    <t>IC Inferior</t>
  </si>
  <si>
    <t>IC Superior</t>
  </si>
  <si>
    <t>Minimize_Cost</t>
  </si>
  <si>
    <t>SA_Greedy_DescAsc</t>
  </si>
  <si>
    <t>SA_Random</t>
  </si>
  <si>
    <t>Métrica de Análise</t>
  </si>
  <si>
    <t>Atendimento</t>
  </si>
  <si>
    <t>GRA</t>
  </si>
  <si>
    <t>RRA</t>
  </si>
  <si>
    <t>SAG</t>
  </si>
  <si>
    <t>SAR</t>
  </si>
  <si>
    <t>Algoritmos</t>
  </si>
  <si>
    <t>ILP_300</t>
  </si>
  <si>
    <t>ILP_400</t>
  </si>
  <si>
    <t>ILP_500</t>
  </si>
  <si>
    <t>DP_300</t>
  </si>
  <si>
    <t>DP_400</t>
  </si>
  <si>
    <t>DP_500</t>
  </si>
  <si>
    <t>N</t>
  </si>
  <si>
    <t>=</t>
  </si>
  <si>
    <t>Servers</t>
  </si>
  <si>
    <t>Tech</t>
  </si>
  <si>
    <t>Text Between Delimiters</t>
  </si>
  <si>
    <t>Custom</t>
  </si>
  <si>
    <t>300,400,500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</si>
</sst>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00000"/>
    <numFmt numFmtId="166" formatCode="0.000%"/>
    <numFmt numFmtId="169" formatCode="0.000000%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Times New Roman"/>
      <family val="1"/>
    </font>
    <font>
      <u/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0"/>
      <color rgb="FF000000"/>
      <name val="Times New Roman"/>
      <family val="1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164" fontId="4" fillId="0" borderId="0" xfId="0" applyNumberFormat="1" applyFont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10" fontId="0" fillId="0" borderId="0" xfId="0" applyNumberFormat="1"/>
    <xf numFmtId="2" fontId="4" fillId="0" borderId="1" xfId="1" applyNumberFormat="1" applyFont="1" applyBorder="1" applyAlignment="1">
      <alignment horizontal="center" vertical="center"/>
    </xf>
    <xf numFmtId="2" fontId="2" fillId="0" borderId="0" xfId="1" applyNumberFormat="1" applyFont="1"/>
    <xf numFmtId="2" fontId="0" fillId="0" borderId="0" xfId="1" applyNumberFormat="1" applyFont="1"/>
    <xf numFmtId="10" fontId="6" fillId="0" borderId="0" xfId="0" applyNumberFormat="1" applyFont="1"/>
    <xf numFmtId="164" fontId="2" fillId="0" borderId="0" xfId="0" applyNumberFormat="1" applyFont="1"/>
    <xf numFmtId="165" fontId="2" fillId="0" borderId="0" xfId="0" applyNumberFormat="1" applyFont="1"/>
    <xf numFmtId="164" fontId="3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4" fontId="0" fillId="0" borderId="0" xfId="0" applyNumberFormat="1"/>
    <xf numFmtId="1" fontId="0" fillId="0" borderId="0" xfId="0" applyNumberFormat="1"/>
    <xf numFmtId="166" fontId="2" fillId="0" borderId="0" xfId="1" applyNumberFormat="1" applyFont="1"/>
    <xf numFmtId="164" fontId="6" fillId="0" borderId="0" xfId="0" applyNumberFormat="1" applyFont="1"/>
    <xf numFmtId="166" fontId="0" fillId="0" borderId="0" xfId="0" applyNumberFormat="1"/>
    <xf numFmtId="10" fontId="2" fillId="0" borderId="0" xfId="1" applyNumberFormat="1" applyFont="1"/>
    <xf numFmtId="169" fontId="2" fillId="0" borderId="0" xfId="1" applyNumberFormat="1" applyFont="1"/>
    <xf numFmtId="10" fontId="2" fillId="0" borderId="0" xfId="0" applyNumberFormat="1" applyFont="1"/>
  </cellXfs>
  <cellStyles count="2">
    <cellStyle name="Normal" xfId="0" builtinId="0"/>
    <cellStyle name="Percent" xfId="1" builtinId="5"/>
  </cellStyles>
  <dxfs count="5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49746219454764"/>
          <c:y val="2.4608024691358026E-2"/>
          <c:w val="0.72627893185425496"/>
          <c:h val="0.78402388888888885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Atendimento!$K$1</c:f>
              <c:strCache>
                <c:ptCount val="1"/>
                <c:pt idx="0">
                  <c:v>300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Atendimento!$N$2:$N$7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2.1694828295509335E-2</c:v>
                  </c:pt>
                  <c:pt idx="3">
                    <c:v>1.481595120236566E-3</c:v>
                  </c:pt>
                  <c:pt idx="4">
                    <c:v>8.7510612792556109E-3</c:v>
                  </c:pt>
                </c:numCache>
              </c:numRef>
            </c:plus>
            <c:minus>
              <c:numRef>
                <c:f>Atendimento!$N$2:$N$7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2.1694828295509335E-2</c:v>
                  </c:pt>
                  <c:pt idx="3">
                    <c:v>1.481595120236566E-3</c:v>
                  </c:pt>
                  <c:pt idx="4">
                    <c:v>8.7510612792556109E-3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Atendimento!$J$2:$J$7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Atendimento!$K$2:$K$7</c:f>
              <c:numCache>
                <c:formatCode>0.000%</c:formatCode>
                <c:ptCount val="6"/>
                <c:pt idx="1">
                  <c:v>0.71024760079420524</c:v>
                </c:pt>
                <c:pt idx="2">
                  <c:v>0.59028285875719411</c:v>
                </c:pt>
                <c:pt idx="3">
                  <c:v>0.71298584381125241</c:v>
                </c:pt>
                <c:pt idx="4">
                  <c:v>0.96065995076323218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6-4146-8F02-F9689B02601D}"/>
            </c:ext>
          </c:extLst>
        </c:ser>
        <c:ser>
          <c:idx val="1"/>
          <c:order val="4"/>
          <c:tx>
            <c:strRef>
              <c:f>Atendimento!$L$1</c:f>
              <c:strCache>
                <c:ptCount val="1"/>
                <c:pt idx="0">
                  <c:v>400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Atendimento!$O$2:$O$7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1.9943338279908962E-2</c:v>
                  </c:pt>
                  <c:pt idx="3">
                    <c:v>2.072424758308516E-3</c:v>
                  </c:pt>
                  <c:pt idx="4">
                    <c:v>8.9115710300140989E-3</c:v>
                  </c:pt>
                </c:numCache>
              </c:numRef>
            </c:plus>
            <c:minus>
              <c:numRef>
                <c:f>Atendimento!$O$2:$O$7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1.9943338279908962E-2</c:v>
                  </c:pt>
                  <c:pt idx="3">
                    <c:v>2.072424758308516E-3</c:v>
                  </c:pt>
                  <c:pt idx="4">
                    <c:v>8.9115710300140989E-3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Atendimento!$J$2:$J$7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Atendimento!$L$2:$L$7</c:f>
              <c:numCache>
                <c:formatCode>0.000%</c:formatCode>
                <c:ptCount val="6"/>
                <c:pt idx="1">
                  <c:v>0.57452574525745259</c:v>
                </c:pt>
                <c:pt idx="2">
                  <c:v>0.54238934056007304</c:v>
                </c:pt>
                <c:pt idx="3">
                  <c:v>0.58023938572719091</c:v>
                </c:pt>
                <c:pt idx="4">
                  <c:v>0.79686088527551846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76-4146-8F02-F9689B02601D}"/>
            </c:ext>
          </c:extLst>
        </c:ser>
        <c:ser>
          <c:idx val="2"/>
          <c:order val="5"/>
          <c:tx>
            <c:strRef>
              <c:f>Atendimento!$M$1</c:f>
              <c:strCache>
                <c:ptCount val="1"/>
                <c:pt idx="0">
                  <c:v>500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Atendimento!$P$2:$P$7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1.5366829809523651E-2</c:v>
                  </c:pt>
                  <c:pt idx="3">
                    <c:v>9.0961649498450892E-4</c:v>
                  </c:pt>
                  <c:pt idx="4">
                    <c:v>3.2014232343675129E-3</c:v>
                  </c:pt>
                </c:numCache>
              </c:numRef>
            </c:plus>
            <c:minus>
              <c:numRef>
                <c:f>Atendimento!$P$2:$P$7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1.5366829809523651E-2</c:v>
                  </c:pt>
                  <c:pt idx="3">
                    <c:v>9.0961649498450892E-4</c:v>
                  </c:pt>
                  <c:pt idx="4">
                    <c:v>3.2014232343675129E-3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Atendimento!$J$2:$J$7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Atendimento!$M$2:$M$7</c:f>
              <c:numCache>
                <c:formatCode>0.000%</c:formatCode>
                <c:ptCount val="6"/>
                <c:pt idx="1">
                  <c:v>0.48806941431670281</c:v>
                </c:pt>
                <c:pt idx="2">
                  <c:v>0.49634851771511213</c:v>
                </c:pt>
                <c:pt idx="3">
                  <c:v>0.48855748373102004</c:v>
                </c:pt>
                <c:pt idx="4">
                  <c:v>0.6785249457700645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76-4146-8F02-F9689B026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3"/>
          <c:order val="0"/>
          <c:tx>
            <c:strRef>
              <c:f>Atendimento!$Q$1</c:f>
              <c:strCache>
                <c:ptCount val="1"/>
                <c:pt idx="0">
                  <c:v>ILP_300</c:v>
                </c:pt>
              </c:strCache>
            </c:strRef>
          </c:tx>
          <c:spPr>
            <a:ln w="12700" cap="rnd">
              <a:solidFill>
                <a:schemeClr val="tx1">
                  <a:lumMod val="50000"/>
                  <a:lumOff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tx>
                <c:rich>
                  <a:bodyPr/>
                  <a:lstStyle/>
                  <a:p>
                    <a:r>
                      <a:rPr lang="en-US">
                        <a:ln>
                          <a:noFill/>
                        </a:ln>
                        <a:solidFill>
                          <a:sysClr val="windowText" lastClr="000000">
                            <a:lumMod val="75000"/>
                            <a:lumOff val="25000"/>
                          </a:sysClr>
                        </a:solidFill>
                      </a:rPr>
                      <a:t>ILP</a:t>
                    </a:r>
                    <a:r>
                      <a:rPr lang="en-US" baseline="-25000">
                        <a:ln>
                          <a:noFill/>
                        </a:ln>
                        <a:solidFill>
                          <a:sysClr val="windowText" lastClr="000000">
                            <a:lumMod val="75000"/>
                            <a:lumOff val="25000"/>
                          </a:sysClr>
                        </a:solidFill>
                      </a:rPr>
                      <a:t>300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Atendimento!$Q$2:$Q$7</c:f>
              <c:numCache>
                <c:formatCode>0.000%</c:formatCode>
                <c:ptCount val="6"/>
                <c:pt idx="0" formatCode="0.00%">
                  <c:v>0.99646678320381044</c:v>
                </c:pt>
                <c:pt idx="1">
                  <c:v>0.99646678320381044</c:v>
                </c:pt>
                <c:pt idx="2">
                  <c:v>0.99646678320381044</c:v>
                </c:pt>
                <c:pt idx="3">
                  <c:v>0.99646678320381044</c:v>
                </c:pt>
                <c:pt idx="4">
                  <c:v>0.99646678320381044</c:v>
                </c:pt>
                <c:pt idx="5">
                  <c:v>0.99646678320381044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76-4146-8F02-F9689B02601D}"/>
            </c:ext>
          </c:extLst>
        </c:ser>
        <c:ser>
          <c:idx val="4"/>
          <c:order val="1"/>
          <c:tx>
            <c:strRef>
              <c:f>Atendimento!$R$1</c:f>
              <c:strCache>
                <c:ptCount val="1"/>
                <c:pt idx="0">
                  <c:v>ILP_400</c:v>
                </c:pt>
              </c:strCache>
            </c:strRef>
          </c:tx>
          <c:spPr>
            <a:ln w="12700" cap="rnd">
              <a:solidFill>
                <a:schemeClr val="tx1">
                  <a:lumMod val="50000"/>
                  <a:lumOff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ILP</a:t>
                    </a:r>
                    <a:r>
                      <a:rPr lang="en-US" baseline="-25000"/>
                      <a:t>400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Atendimento!$R$2:$R$7</c:f>
              <c:numCache>
                <c:formatCode>0.000%</c:formatCode>
                <c:ptCount val="6"/>
                <c:pt idx="0" formatCode="0.00%">
                  <c:v>0.81842818428184283</c:v>
                </c:pt>
                <c:pt idx="1">
                  <c:v>0.81842818428184283</c:v>
                </c:pt>
                <c:pt idx="2">
                  <c:v>0.81842818428184283</c:v>
                </c:pt>
                <c:pt idx="3">
                  <c:v>0.81842818428184283</c:v>
                </c:pt>
                <c:pt idx="4">
                  <c:v>0.81842818428184283</c:v>
                </c:pt>
                <c:pt idx="5">
                  <c:v>0.81842818428184283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76-4146-8F02-F9689B02601D}"/>
            </c:ext>
          </c:extLst>
        </c:ser>
        <c:ser>
          <c:idx val="5"/>
          <c:order val="2"/>
          <c:tx>
            <c:strRef>
              <c:f>Atendimento!$S$1</c:f>
              <c:strCache>
                <c:ptCount val="1"/>
                <c:pt idx="0">
                  <c:v>ILP_500</c:v>
                </c:pt>
              </c:strCache>
            </c:strRef>
          </c:tx>
          <c:spPr>
            <a:ln w="12700" cap="rnd">
              <a:solidFill>
                <a:schemeClr val="tx1">
                  <a:lumMod val="50000"/>
                  <a:lumOff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C-1F76-4146-8F02-F9689B02601D}"/>
              </c:ext>
            </c:extLst>
          </c:dPt>
          <c:dLbls>
            <c:dLbl>
              <c:idx val="5"/>
              <c:layout>
                <c:manualLayout>
                  <c:x val="0"/>
                  <c:y val="-3.5930654884856425E-17"/>
                </c:manualLayout>
              </c:layout>
              <c:tx>
                <c:rich>
                  <a:bodyPr rot="0" spcFirstLastPara="1" vertOverflow="clip" horzOverflow="clip" vert="horz" wrap="square" lIns="0" tIns="0" rIns="0" bIns="0" anchor="ctr" anchorCtr="0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ILP</a:t>
                    </a:r>
                    <a:r>
                      <a:rPr lang="en-US" baseline="-25000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0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1C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Atendimento!$S$2:$S$7</c:f>
              <c:numCache>
                <c:formatCode>0.000%</c:formatCode>
                <c:ptCount val="6"/>
                <c:pt idx="0" formatCode="0.00%">
                  <c:v>0.69414316702819956</c:v>
                </c:pt>
                <c:pt idx="1">
                  <c:v>0.69414316702819956</c:v>
                </c:pt>
                <c:pt idx="2">
                  <c:v>0.69414316702819956</c:v>
                </c:pt>
                <c:pt idx="3">
                  <c:v>0.69414316702819956</c:v>
                </c:pt>
                <c:pt idx="4">
                  <c:v>0.69414316702819956</c:v>
                </c:pt>
                <c:pt idx="5">
                  <c:v>0.69414316702819956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F76-4146-8F02-F9689B026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orientation val="minMax"/>
          <c:max val="1.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Acceptance Rate (%)</a:t>
                </a:r>
              </a:p>
            </c:rich>
          </c:tx>
          <c:layout>
            <c:manualLayout>
              <c:xMode val="edge"/>
              <c:yMode val="edge"/>
              <c:x val="1.7491666666666669E-3"/>
              <c:y val="0.15220722222222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low"/>
        <c:spPr>
          <a:noFill/>
          <a:ln w="12700">
            <a:solidFill>
              <a:schemeClr val="tx1"/>
            </a:solidFill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6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23088833333333336"/>
          <c:y val="0.92658111111111108"/>
          <c:w val="0.56190416666666665"/>
          <c:h val="6.97588888888888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3003570736568"/>
          <c:y val="3.8147191118767347E-2"/>
          <c:w val="0.7447382843856396"/>
          <c:h val="0.7909689238888205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'Custo Total'!$K$1</c:f>
              <c:strCache>
                <c:ptCount val="1"/>
                <c:pt idx="0">
                  <c:v>300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5"/>
              <c:tx>
                <c:rich>
                  <a:bodyPr/>
                  <a:lstStyle/>
                  <a:p>
                    <a:r>
                      <a:rPr lang="pt-BR"/>
                      <a:t>Adicionar texto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'Custo Total'!$N$2:$N$7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43.943887352618198</c:v>
                  </c:pt>
                  <c:pt idx="3">
                    <c:v>3.0592223914613315</c:v>
                  </c:pt>
                  <c:pt idx="4">
                    <c:v>18.734739718299807</c:v>
                  </c:pt>
                </c:numCache>
              </c:numRef>
            </c:plus>
            <c:minus>
              <c:numRef>
                <c:f>'Custo Total'!$N$2:$N$7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43.943887352618198</c:v>
                  </c:pt>
                  <c:pt idx="3">
                    <c:v>3.0592223914613315</c:v>
                  </c:pt>
                  <c:pt idx="4">
                    <c:v>18.734739718299807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'Custo Total'!$J$2:$J$7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'Custo Total'!$K$2:$K$7</c:f>
              <c:numCache>
                <c:formatCode>0.000000</c:formatCode>
                <c:ptCount val="6"/>
                <c:pt idx="1">
                  <c:v>706.36671000000001</c:v>
                </c:pt>
                <c:pt idx="2">
                  <c:v>942.56156733333387</c:v>
                </c:pt>
                <c:pt idx="3">
                  <c:v>700.71274033333418</c:v>
                </c:pt>
                <c:pt idx="4">
                  <c:v>199.16101458333338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76-4146-8F02-F9689B02601D}"/>
            </c:ext>
          </c:extLst>
        </c:ser>
        <c:ser>
          <c:idx val="4"/>
          <c:order val="1"/>
          <c:tx>
            <c:strRef>
              <c:f>'Custo Total'!$L$1</c:f>
              <c:strCache>
                <c:ptCount val="1"/>
                <c:pt idx="0">
                  <c:v>400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5"/>
              <c:tx>
                <c:rich>
                  <a:bodyPr/>
                  <a:lstStyle/>
                  <a:p>
                    <a:r>
                      <a:rPr lang="pt-BR"/>
                      <a:t>Adicionar texto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'Custo Total'!$O$2:$O$7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49.194758129489728</c:v>
                  </c:pt>
                  <c:pt idx="3">
                    <c:v>3.6460710046470934</c:v>
                  </c:pt>
                  <c:pt idx="4">
                    <c:v>24.434061786406641</c:v>
                  </c:pt>
                </c:numCache>
              </c:numRef>
            </c:plus>
            <c:minus>
              <c:numRef>
                <c:f>'Custo Total'!$O$2:$O$7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49.194758129489728</c:v>
                  </c:pt>
                  <c:pt idx="3">
                    <c:v>3.6460710046470934</c:v>
                  </c:pt>
                  <c:pt idx="4">
                    <c:v>24.434061786406641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'Custo Total'!$J$2:$J$7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'Custo Total'!$L$2:$L$7</c:f>
              <c:numCache>
                <c:formatCode>0.000000</c:formatCode>
                <c:ptCount val="6"/>
                <c:pt idx="1">
                  <c:v>1343.4716599999999</c:v>
                </c:pt>
                <c:pt idx="2">
                  <c:v>1415.8175737500007</c:v>
                </c:pt>
                <c:pt idx="3">
                  <c:v>1332.1668494166677</c:v>
                </c:pt>
                <c:pt idx="4">
                  <c:v>780.26474308333343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76-4146-8F02-F9689B02601D}"/>
            </c:ext>
          </c:extLst>
        </c:ser>
        <c:ser>
          <c:idx val="5"/>
          <c:order val="2"/>
          <c:tx>
            <c:strRef>
              <c:f>'Custo Total'!$M$1</c:f>
              <c:strCache>
                <c:ptCount val="1"/>
                <c:pt idx="0">
                  <c:v>500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1F76-4146-8F02-F9689B02601D}"/>
              </c:ext>
            </c:extLst>
          </c:dPt>
          <c:dLbls>
            <c:dLbl>
              <c:idx val="5"/>
              <c:layout>
                <c:manualLayout>
                  <c:x val="0"/>
                  <c:y val="-3.5930654884856425E-17"/>
                </c:manualLayout>
              </c:layout>
              <c:tx>
                <c:rich>
                  <a:bodyPr rot="0" spcFirstLastPara="1" vertOverflow="clip" horzOverflow="clip" vert="horz" wrap="square" lIns="0" tIns="0" rIns="0" bIns="0" anchor="ctr" anchorCtr="0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pt-BR"/>
                      <a:t>Adicionar texto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0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1C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'Custo Total'!$P$2:$P$7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48.417017096400599</c:v>
                  </c:pt>
                  <c:pt idx="3">
                    <c:v>1.4674193590994287</c:v>
                  </c:pt>
                  <c:pt idx="4">
                    <c:v>10.549255217806893</c:v>
                  </c:pt>
                </c:numCache>
              </c:numRef>
            </c:plus>
            <c:minus>
              <c:numRef>
                <c:f>'Custo Total'!$P$2:$P$7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48.417017096400599</c:v>
                  </c:pt>
                  <c:pt idx="3">
                    <c:v>1.4674193590994287</c:v>
                  </c:pt>
                  <c:pt idx="4">
                    <c:v>10.549255217806893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'Custo Total'!$J$2:$J$7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'Custo Total'!$M$2:$M$7</c:f>
              <c:numCache>
                <c:formatCode>0.000000</c:formatCode>
                <c:ptCount val="6"/>
                <c:pt idx="1">
                  <c:v>1933.17812</c:v>
                </c:pt>
                <c:pt idx="2">
                  <c:v>1907.5553800833334</c:v>
                </c:pt>
                <c:pt idx="3">
                  <c:v>1932.3896008333313</c:v>
                </c:pt>
                <c:pt idx="4">
                  <c:v>1377.2489570833336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76-4146-8F02-F9689B026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6"/>
          <c:order val="3"/>
          <c:tx>
            <c:strRef>
              <c:f>'Custo Total'!$Q$1</c:f>
              <c:strCache>
                <c:ptCount val="1"/>
                <c:pt idx="0">
                  <c:v>ILP_300</c:v>
                </c:pt>
              </c:strCache>
            </c:strRef>
          </c:tx>
          <c:spPr>
            <a:ln w="12700" cap="rnd">
              <a:solidFill>
                <a:schemeClr val="tx1">
                  <a:lumMod val="50000"/>
                  <a:lumOff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ILP</a:t>
                    </a:r>
                    <a:r>
                      <a:rPr lang="en-US" baseline="-25000"/>
                      <a:t>300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D4B-48AF-BFCE-86AD044592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'Custo Total'!$J$2:$J$7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'Custo Total'!$Q$2:$Q$7</c:f>
              <c:numCache>
                <c:formatCode>0.000000</c:formatCode>
                <c:ptCount val="6"/>
                <c:pt idx="0">
                  <c:v>117.65951</c:v>
                </c:pt>
                <c:pt idx="1">
                  <c:v>117.65951</c:v>
                </c:pt>
                <c:pt idx="2">
                  <c:v>117.65951</c:v>
                </c:pt>
                <c:pt idx="3">
                  <c:v>117.65951</c:v>
                </c:pt>
                <c:pt idx="4">
                  <c:v>117.65951</c:v>
                </c:pt>
                <c:pt idx="5">
                  <c:v>117.65951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4B-48AF-BFCE-86AD044592CC}"/>
            </c:ext>
          </c:extLst>
        </c:ser>
        <c:ser>
          <c:idx val="7"/>
          <c:order val="4"/>
          <c:tx>
            <c:strRef>
              <c:f>'Custo Total'!$R$1</c:f>
              <c:strCache>
                <c:ptCount val="1"/>
                <c:pt idx="0">
                  <c:v>ILP_400</c:v>
                </c:pt>
              </c:strCache>
            </c:strRef>
          </c:tx>
          <c:spPr>
            <a:ln w="12700" cap="rnd">
              <a:solidFill>
                <a:schemeClr val="tx1">
                  <a:lumMod val="50000"/>
                  <a:lumOff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ILP</a:t>
                    </a:r>
                    <a:r>
                      <a:rPr lang="en-US" baseline="-25000"/>
                      <a:t>400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D4B-48AF-BFCE-86AD044592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'Custo Total'!$J$2:$J$7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'Custo Total'!$R$2:$R$7</c:f>
              <c:numCache>
                <c:formatCode>0.000000</c:formatCode>
                <c:ptCount val="6"/>
                <c:pt idx="0">
                  <c:v>700.06790000000001</c:v>
                </c:pt>
                <c:pt idx="1">
                  <c:v>700.06790000000001</c:v>
                </c:pt>
                <c:pt idx="2">
                  <c:v>700.06790000000001</c:v>
                </c:pt>
                <c:pt idx="3">
                  <c:v>700.06790000000001</c:v>
                </c:pt>
                <c:pt idx="4">
                  <c:v>700.06790000000001</c:v>
                </c:pt>
                <c:pt idx="5">
                  <c:v>700.06790000000001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D4B-48AF-BFCE-86AD044592CC}"/>
            </c:ext>
          </c:extLst>
        </c:ser>
        <c:ser>
          <c:idx val="8"/>
          <c:order val="5"/>
          <c:tx>
            <c:strRef>
              <c:f>'Custo Total'!$S$1</c:f>
              <c:strCache>
                <c:ptCount val="1"/>
                <c:pt idx="0">
                  <c:v>ILP_500</c:v>
                </c:pt>
              </c:strCache>
            </c:strRef>
          </c:tx>
          <c:spPr>
            <a:ln w="12700" cap="rnd">
              <a:solidFill>
                <a:schemeClr val="tx1">
                  <a:lumMod val="50000"/>
                  <a:lumOff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tx>
                <c:rich>
                  <a:bodyPr rot="0" spcFirstLastPara="1" vertOverflow="clip" horzOverflow="clip" vert="horz" wrap="square" lIns="0" tIns="0" rIns="0" bIns="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ILP</a:t>
                    </a:r>
                    <a:r>
                      <a:rPr lang="en-US" baseline="-25000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15-8D4B-48AF-BFCE-86AD044592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'Custo Total'!$J$2:$J$7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'Custo Total'!$S$2:$S$7</c:f>
              <c:numCache>
                <c:formatCode>0.000000</c:formatCode>
                <c:ptCount val="6"/>
                <c:pt idx="0">
                  <c:v>1291.2765899999999</c:v>
                </c:pt>
                <c:pt idx="1">
                  <c:v>1291.2765899999999</c:v>
                </c:pt>
                <c:pt idx="2">
                  <c:v>1291.2765899999999</c:v>
                </c:pt>
                <c:pt idx="3">
                  <c:v>1291.2765899999999</c:v>
                </c:pt>
                <c:pt idx="4">
                  <c:v>1291.2765899999999</c:v>
                </c:pt>
                <c:pt idx="5">
                  <c:v>1291.2765899999999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D4B-48AF-BFCE-86AD04459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orientation val="minMax"/>
          <c:max val="20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Total Cost</a:t>
                </a:r>
                <a:r>
                  <a:rPr lang="pt-BR" baseline="0"/>
                  <a:t>  (</a:t>
                </a:r>
                <a:r>
                  <a:rPr lang="pt-BR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€)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7491666666666669E-3"/>
              <c:y val="0.25804055555555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12700">
            <a:solidFill>
              <a:schemeClr val="tx1"/>
            </a:solidFill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6112"/>
        <c:crossesAt val="1"/>
        <c:crossBetween val="midCat"/>
        <c:majorUnit val="500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549588950092728"/>
          <c:y val="0.9265810808963264"/>
          <c:w val="0.56190416666666665"/>
          <c:h val="6.97588888888888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98000000000003"/>
          <c:y val="3.8147191118767347E-2"/>
          <c:w val="0.74134088364580464"/>
          <c:h val="0.7832466666666666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'Tempo de Execução'!$K$1</c:f>
              <c:strCache>
                <c:ptCount val="1"/>
                <c:pt idx="0">
                  <c:v>300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5"/>
              <c:tx>
                <c:rich>
                  <a:bodyPr/>
                  <a:lstStyle/>
                  <a:p>
                    <a:r>
                      <a:rPr lang="pt-BR"/>
                      <a:t>Adicionar texto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'Tempo de Execução'!$N$2:$N$7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4.8402418510308618E-6</c:v>
                  </c:pt>
                  <c:pt idx="3">
                    <c:v>2.0715436711405766E-3</c:v>
                  </c:pt>
                  <c:pt idx="4">
                    <c:v>4.109507890953895E-3</c:v>
                  </c:pt>
                </c:numCache>
              </c:numRef>
            </c:plus>
            <c:minus>
              <c:numRef>
                <c:f>'Tempo de Execução'!$N$2:$N$7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4.8402418510308618E-6</c:v>
                  </c:pt>
                  <c:pt idx="3">
                    <c:v>2.0715436711405766E-3</c:v>
                  </c:pt>
                  <c:pt idx="4">
                    <c:v>4.109507890953895E-3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'Tempo de Execução'!$J$2:$J$7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'Tempo de Execução'!$K$2:$K$7</c:f>
              <c:numCache>
                <c:formatCode>0.000000</c:formatCode>
                <c:ptCount val="6"/>
                <c:pt idx="1">
                  <c:v>3.3199999999999999E-4</c:v>
                </c:pt>
                <c:pt idx="2">
                  <c:v>2.0725000000000009E-5</c:v>
                </c:pt>
                <c:pt idx="3">
                  <c:v>0.11145205833333335</c:v>
                </c:pt>
                <c:pt idx="4">
                  <c:v>0.15498055833333335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76-4146-8F02-F9689B02601D}"/>
            </c:ext>
          </c:extLst>
        </c:ser>
        <c:ser>
          <c:idx val="4"/>
          <c:order val="1"/>
          <c:tx>
            <c:strRef>
              <c:f>'Tempo de Execução'!$L$1</c:f>
              <c:strCache>
                <c:ptCount val="1"/>
                <c:pt idx="0">
                  <c:v>400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5"/>
              <c:tx>
                <c:rich>
                  <a:bodyPr/>
                  <a:lstStyle/>
                  <a:p>
                    <a:r>
                      <a:rPr lang="pt-BR"/>
                      <a:t>Adicionar texto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'Tempo de Execução'!$O$2:$O$7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1.3829443278764319E-6</c:v>
                  </c:pt>
                  <c:pt idx="3">
                    <c:v>1.7626573406536573E-3</c:v>
                  </c:pt>
                  <c:pt idx="4">
                    <c:v>3.2217517408751292E-3</c:v>
                  </c:pt>
                </c:numCache>
              </c:numRef>
            </c:plus>
            <c:minus>
              <c:numRef>
                <c:f>'Tempo de Execução'!$O$2:$O$7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1.3829443278764319E-6</c:v>
                  </c:pt>
                  <c:pt idx="3">
                    <c:v>1.7626573406536573E-3</c:v>
                  </c:pt>
                  <c:pt idx="4">
                    <c:v>3.2217517408751292E-3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'Tempo de Execução'!$J$2:$J$7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'Tempo de Execução'!$L$2:$L$7</c:f>
              <c:numCache>
                <c:formatCode>0.000000</c:formatCode>
                <c:ptCount val="6"/>
                <c:pt idx="1">
                  <c:v>4.1199999999999999E-4</c:v>
                </c:pt>
                <c:pt idx="2">
                  <c:v>2.5691666666666653E-5</c:v>
                </c:pt>
                <c:pt idx="3">
                  <c:v>0.13444491666666666</c:v>
                </c:pt>
                <c:pt idx="4">
                  <c:v>0.17473835000000001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76-4146-8F02-F9689B02601D}"/>
            </c:ext>
          </c:extLst>
        </c:ser>
        <c:ser>
          <c:idx val="5"/>
          <c:order val="2"/>
          <c:tx>
            <c:strRef>
              <c:f>'Tempo de Execução'!$M$1</c:f>
              <c:strCache>
                <c:ptCount val="1"/>
                <c:pt idx="0">
                  <c:v>500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1DE6-4400-8388-F2567130318A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1F76-4146-8F02-F9689B02601D}"/>
              </c:ext>
            </c:extLst>
          </c:dPt>
          <c:dLbls>
            <c:dLbl>
              <c:idx val="5"/>
              <c:layout>
                <c:manualLayout>
                  <c:x val="0"/>
                  <c:y val="-3.5930654884856425E-17"/>
                </c:manualLayout>
              </c:layout>
              <c:tx>
                <c:rich>
                  <a:bodyPr rot="0" spcFirstLastPara="1" vertOverflow="clip" horzOverflow="clip" vert="horz" wrap="square" lIns="0" tIns="0" rIns="0" bIns="0" anchor="ctr" anchorCtr="0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pt-BR"/>
                      <a:t>Adicionar texto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0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1C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'Tempo de Execução'!$P$2:$P$7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3.0869291622356735E-6</c:v>
                  </c:pt>
                  <c:pt idx="3">
                    <c:v>1.4328109920242597E-3</c:v>
                  </c:pt>
                  <c:pt idx="4">
                    <c:v>5.6288081083092582E-3</c:v>
                  </c:pt>
                </c:numCache>
              </c:numRef>
            </c:plus>
            <c:minus>
              <c:numRef>
                <c:f>'Tempo de Execução'!$P$2:$P$7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3.0869291622356735E-6</c:v>
                  </c:pt>
                  <c:pt idx="3">
                    <c:v>1.4328109920242597E-3</c:v>
                  </c:pt>
                  <c:pt idx="4">
                    <c:v>5.6288081083092582E-3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'Tempo de Execução'!$J$2:$J$7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'Tempo de Execução'!$M$2:$M$7</c:f>
              <c:numCache>
                <c:formatCode>0.000000</c:formatCode>
                <c:ptCount val="6"/>
                <c:pt idx="1">
                  <c:v>5.4799999999999998E-4</c:v>
                </c:pt>
                <c:pt idx="2">
                  <c:v>3.151666666666671E-5</c:v>
                </c:pt>
                <c:pt idx="3">
                  <c:v>0.16150917500000006</c:v>
                </c:pt>
                <c:pt idx="4">
                  <c:v>0.20879794999999998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76-4146-8F02-F9689B026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6"/>
          <c:order val="3"/>
          <c:tx>
            <c:strRef>
              <c:f>'Tempo de Execução'!$Q$1</c:f>
              <c:strCache>
                <c:ptCount val="1"/>
                <c:pt idx="0">
                  <c:v>ILP_300</c:v>
                </c:pt>
              </c:strCache>
            </c:strRef>
          </c:tx>
          <c:spPr>
            <a:ln w="12700" cap="rnd">
              <a:solidFill>
                <a:schemeClr val="tx1">
                  <a:lumMod val="50000"/>
                  <a:lumOff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0"/>
                  <c:y val="-3.5332777777777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ILP</a:t>
                    </a:r>
                    <a:r>
                      <a:rPr lang="en-US" baseline="-25000"/>
                      <a:t>300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D4B-48AF-BFCE-86AD044592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'Tempo de Execução'!#REF!</c:f>
            </c:multiLvlStrRef>
          </c:cat>
          <c:val>
            <c:numRef>
              <c:f>'Tempo de Execução'!$Q$2:$Q$7</c:f>
              <c:numCache>
                <c:formatCode>0.000000</c:formatCode>
                <c:ptCount val="6"/>
                <c:pt idx="0">
                  <c:v>1.1519140000000001</c:v>
                </c:pt>
                <c:pt idx="1">
                  <c:v>1.1519140000000001</c:v>
                </c:pt>
                <c:pt idx="2">
                  <c:v>1.1519140000000001</c:v>
                </c:pt>
                <c:pt idx="3">
                  <c:v>1.1519140000000001</c:v>
                </c:pt>
                <c:pt idx="4">
                  <c:v>1.1519140000000001</c:v>
                </c:pt>
                <c:pt idx="5">
                  <c:v>1.1519140000000001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4B-48AF-BFCE-86AD044592CC}"/>
            </c:ext>
          </c:extLst>
        </c:ser>
        <c:ser>
          <c:idx val="7"/>
          <c:order val="4"/>
          <c:tx>
            <c:strRef>
              <c:f>'Tempo de Execução'!$R$1</c:f>
              <c:strCache>
                <c:ptCount val="1"/>
                <c:pt idx="0">
                  <c:v>ILP_400</c:v>
                </c:pt>
              </c:strCache>
            </c:strRef>
          </c:tx>
          <c:spPr>
            <a:ln w="12700" cap="rnd">
              <a:solidFill>
                <a:schemeClr val="tx1">
                  <a:lumMod val="50000"/>
                  <a:lumOff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-1.2935035758548312E-16"/>
                  <c:y val="3.5961111111111076E-2"/>
                </c:manualLayout>
              </c:layout>
              <c:tx>
                <c:rich>
                  <a:bodyPr rot="0" spcFirstLastPara="1" vertOverflow="overflow" horzOverflow="overflow" vert="horz" wrap="square" lIns="0" tIns="0" rIns="0" bIns="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ILP</a:t>
                    </a:r>
                    <a:r>
                      <a:rPr lang="en-US" baseline="-25000"/>
                      <a:t>400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14-8D4B-48AF-BFCE-86AD044592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'Tempo de Execução'!#REF!</c:f>
            </c:multiLvlStrRef>
          </c:cat>
          <c:val>
            <c:numRef>
              <c:f>'Tempo de Execução'!$R$2:$R$7</c:f>
              <c:numCache>
                <c:formatCode>0.000000</c:formatCode>
                <c:ptCount val="6"/>
                <c:pt idx="0">
                  <c:v>0.85419299999999998</c:v>
                </c:pt>
                <c:pt idx="1">
                  <c:v>0.85419299999999998</c:v>
                </c:pt>
                <c:pt idx="2">
                  <c:v>0.85419299999999998</c:v>
                </c:pt>
                <c:pt idx="3">
                  <c:v>0.85419299999999998</c:v>
                </c:pt>
                <c:pt idx="4">
                  <c:v>0.85419299999999998</c:v>
                </c:pt>
                <c:pt idx="5">
                  <c:v>0.85419299999999998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D4B-48AF-BFCE-86AD044592CC}"/>
            </c:ext>
          </c:extLst>
        </c:ser>
        <c:ser>
          <c:idx val="8"/>
          <c:order val="5"/>
          <c:tx>
            <c:strRef>
              <c:f>'Tempo de Execução'!$S$1</c:f>
              <c:strCache>
                <c:ptCount val="1"/>
                <c:pt idx="0">
                  <c:v>ILP_500</c:v>
                </c:pt>
              </c:strCache>
            </c:strRef>
          </c:tx>
          <c:spPr>
            <a:ln w="12700" cap="rnd">
              <a:solidFill>
                <a:schemeClr val="tx1">
                  <a:lumMod val="50000"/>
                  <a:lumOff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8.8277777777764845E-4"/>
                  <c:y val="-2.6083333333333332E-3"/>
                </c:manualLayout>
              </c:layout>
              <c:tx>
                <c:rich>
                  <a:bodyPr rot="0" spcFirstLastPara="1" vertOverflow="clip" horzOverflow="clip" vert="horz" wrap="square" lIns="0" tIns="0" rIns="0" bIns="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ILP</a:t>
                    </a:r>
                    <a:r>
                      <a:rPr lang="en-US" baseline="-25000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15-8D4B-48AF-BFCE-86AD044592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'Tempo de Execução'!#REF!</c:f>
            </c:multiLvlStrRef>
          </c:cat>
          <c:val>
            <c:numRef>
              <c:f>'Tempo de Execução'!$S$2:$S$7</c:f>
              <c:numCache>
                <c:formatCode>0.000000</c:formatCode>
                <c:ptCount val="6"/>
                <c:pt idx="0">
                  <c:v>1200.032614</c:v>
                </c:pt>
                <c:pt idx="1">
                  <c:v>1200.032614</c:v>
                </c:pt>
                <c:pt idx="2">
                  <c:v>1200.032614</c:v>
                </c:pt>
                <c:pt idx="3">
                  <c:v>1200.032614</c:v>
                </c:pt>
                <c:pt idx="4">
                  <c:v>1200.032614</c:v>
                </c:pt>
                <c:pt idx="5">
                  <c:v>1200.032614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D4B-48AF-BFCE-86AD04459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logBase val="10"/>
          <c:orientation val="minMax"/>
          <c:max val="1300"/>
          <c:min val="1.0000000000000004E-6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Runtime (s)</a:t>
                </a:r>
              </a:p>
            </c:rich>
          </c:tx>
          <c:layout>
            <c:manualLayout>
              <c:xMode val="edge"/>
              <c:yMode val="edge"/>
              <c:x val="1.7491666666666669E-3"/>
              <c:y val="0.286262777777777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E+0" sourceLinked="0"/>
        <c:majorTickMark val="none"/>
        <c:minorTickMark val="none"/>
        <c:tickLblPos val="low"/>
        <c:spPr>
          <a:noFill/>
          <a:ln w="12700">
            <a:solidFill>
              <a:schemeClr val="tx1"/>
            </a:solidFill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6112"/>
        <c:crossesAt val="1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23696805555555556"/>
          <c:y val="0.92658111111111108"/>
          <c:w val="0.57058750000000003"/>
          <c:h val="7.341899970836979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667972222222223"/>
          <c:y val="3.9377901971576555E-2"/>
          <c:w val="0.72575722222222228"/>
          <c:h val="0.7909689238888205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'TR médio'!$K$1</c:f>
              <c:strCache>
                <c:ptCount val="1"/>
                <c:pt idx="0">
                  <c:v>300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5"/>
              <c:tx>
                <c:rich>
                  <a:bodyPr/>
                  <a:lstStyle/>
                  <a:p>
                    <a:r>
                      <a:rPr lang="pt-BR"/>
                      <a:t>Adicionar texto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'TR médio'!$N$2:$N$7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4.4535002350570894</c:v>
                  </c:pt>
                  <c:pt idx="3">
                    <c:v>0.12810585101177241</c:v>
                  </c:pt>
                  <c:pt idx="4">
                    <c:v>1.6875456004364</c:v>
                  </c:pt>
                </c:numCache>
              </c:numRef>
            </c:plus>
            <c:minus>
              <c:numRef>
                <c:f>'TR médio'!$N$2:$N$7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4.4535002350570894</c:v>
                  </c:pt>
                  <c:pt idx="3">
                    <c:v>0.12810585101177241</c:v>
                  </c:pt>
                  <c:pt idx="4">
                    <c:v>1.6875456004364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'TR médio'!$J$2:$J$7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'TR médio'!$K$2:$K$7</c:f>
              <c:numCache>
                <c:formatCode>0.000000</c:formatCode>
                <c:ptCount val="6"/>
                <c:pt idx="1">
                  <c:v>122.591471</c:v>
                </c:pt>
                <c:pt idx="2">
                  <c:v>150.95813385000005</c:v>
                </c:pt>
                <c:pt idx="3">
                  <c:v>122.73169619166656</c:v>
                </c:pt>
                <c:pt idx="4">
                  <c:v>161.821334525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76-4146-8F02-F9689B02601D}"/>
            </c:ext>
          </c:extLst>
        </c:ser>
        <c:ser>
          <c:idx val="4"/>
          <c:order val="1"/>
          <c:tx>
            <c:strRef>
              <c:f>'TR médio'!$L$1</c:f>
              <c:strCache>
                <c:ptCount val="1"/>
                <c:pt idx="0">
                  <c:v>400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5"/>
              <c:tx>
                <c:rich>
                  <a:bodyPr/>
                  <a:lstStyle/>
                  <a:p>
                    <a:r>
                      <a:rPr lang="pt-BR"/>
                      <a:t>Adicionar texto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'TR médio'!$O$2:$O$7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3.8179908257990554</c:v>
                  </c:pt>
                  <c:pt idx="3">
                    <c:v>0.15466324818219404</c:v>
                  </c:pt>
                  <c:pt idx="4">
                    <c:v>1.7200519884351348</c:v>
                  </c:pt>
                </c:numCache>
              </c:numRef>
            </c:plus>
            <c:minus>
              <c:numRef>
                <c:f>'TR médio'!$O$2:$O$7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3.8179908257990554</c:v>
                  </c:pt>
                  <c:pt idx="3">
                    <c:v>0.15466324818219404</c:v>
                  </c:pt>
                  <c:pt idx="4">
                    <c:v>1.7200519884351348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'TR médio'!$J$2:$J$7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'TR médio'!$L$2:$L$7</c:f>
              <c:numCache>
                <c:formatCode>0.000000</c:formatCode>
                <c:ptCount val="6"/>
                <c:pt idx="1">
                  <c:v>125.12968499999999</c:v>
                </c:pt>
                <c:pt idx="2">
                  <c:v>154.78920818333336</c:v>
                </c:pt>
                <c:pt idx="3">
                  <c:v>124.79315779166664</c:v>
                </c:pt>
                <c:pt idx="4">
                  <c:v>156.82294432500001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76-4146-8F02-F9689B02601D}"/>
            </c:ext>
          </c:extLst>
        </c:ser>
        <c:ser>
          <c:idx val="5"/>
          <c:order val="2"/>
          <c:tx>
            <c:strRef>
              <c:f>'TR médio'!$M$1</c:f>
              <c:strCache>
                <c:ptCount val="1"/>
                <c:pt idx="0">
                  <c:v>500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1F76-4146-8F02-F9689B02601D}"/>
              </c:ext>
            </c:extLst>
          </c:dPt>
          <c:dLbls>
            <c:dLbl>
              <c:idx val="5"/>
              <c:layout>
                <c:manualLayout>
                  <c:x val="0"/>
                  <c:y val="-3.5930654884856425E-17"/>
                </c:manualLayout>
              </c:layout>
              <c:tx>
                <c:rich>
                  <a:bodyPr rot="0" spcFirstLastPara="1" vertOverflow="clip" horzOverflow="clip" vert="horz" wrap="square" lIns="0" tIns="0" rIns="0" bIns="0" anchor="ctr" anchorCtr="0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pt-BR"/>
                      <a:t>Adicionar texto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0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1C-1F76-4146-8F02-F9689B0260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'TR médio'!$P$2:$P$7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3.4462565066553013</c:v>
                  </c:pt>
                  <c:pt idx="3">
                    <c:v>9.4584025544197814E-2</c:v>
                  </c:pt>
                  <c:pt idx="4">
                    <c:v>1.327895188181041</c:v>
                  </c:pt>
                </c:numCache>
              </c:numRef>
            </c:plus>
            <c:minus>
              <c:numRef>
                <c:f>'TR médio'!$P$2:$P$7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3.4462565066553013</c:v>
                  </c:pt>
                  <c:pt idx="3">
                    <c:v>9.4584025544197814E-2</c:v>
                  </c:pt>
                  <c:pt idx="4">
                    <c:v>1.327895188181041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'TR médio'!$J$2:$J$7</c:f>
              <c:strCache>
                <c:ptCount val="5"/>
                <c:pt idx="1">
                  <c:v>GRA</c:v>
                </c:pt>
                <c:pt idx="2">
                  <c:v>RRA</c:v>
                </c:pt>
                <c:pt idx="3">
                  <c:v>SAG</c:v>
                </c:pt>
                <c:pt idx="4">
                  <c:v>SAR</c:v>
                </c:pt>
              </c:strCache>
            </c:strRef>
          </c:cat>
          <c:val>
            <c:numRef>
              <c:f>'TR médio'!$M$2:$M$7</c:f>
              <c:numCache>
                <c:formatCode>0.000000</c:formatCode>
                <c:ptCount val="6"/>
                <c:pt idx="1">
                  <c:v>126.069828</c:v>
                </c:pt>
                <c:pt idx="2">
                  <c:v>156.08266947499996</c:v>
                </c:pt>
                <c:pt idx="3">
                  <c:v>126.02958342499991</c:v>
                </c:pt>
                <c:pt idx="4">
                  <c:v>152.67388125833335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76-4146-8F02-F9689B026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0"/>
          <c:order val="3"/>
          <c:tx>
            <c:strRef>
              <c:f>'TR médio'!$Q$1</c:f>
              <c:strCache>
                <c:ptCount val="1"/>
                <c:pt idx="0">
                  <c:v>ILP_300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7.1119395691087564E-2"/>
                  <c:y val="0.15055675515474828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ILP</a:t>
                    </a:r>
                    <a:r>
                      <a:rPr lang="en-US" baseline="-25000"/>
                      <a:t>300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748-448E-9A74-9215D07FCC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6350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'TR médio'!$Q$2:$Q$7</c:f>
              <c:numCache>
                <c:formatCode>0.000000</c:formatCode>
                <c:ptCount val="6"/>
                <c:pt idx="0">
                  <c:v>158.227225</c:v>
                </c:pt>
                <c:pt idx="1">
                  <c:v>158.227225</c:v>
                </c:pt>
                <c:pt idx="2">
                  <c:v>158.227225</c:v>
                </c:pt>
                <c:pt idx="3">
                  <c:v>158.227225</c:v>
                </c:pt>
                <c:pt idx="4">
                  <c:v>158.227225</c:v>
                </c:pt>
                <c:pt idx="5">
                  <c:v>158.227225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748-448E-9A74-9215D07FCC0C}"/>
            </c:ext>
          </c:extLst>
        </c:ser>
        <c:ser>
          <c:idx val="1"/>
          <c:order val="4"/>
          <c:tx>
            <c:strRef>
              <c:f>'TR médio'!$R$1</c:f>
              <c:strCache>
                <c:ptCount val="1"/>
                <c:pt idx="0">
                  <c:v>ILP_400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7.0930898225331274E-2"/>
                  <c:y val="-0.1433873858616650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ILP</a:t>
                    </a:r>
                    <a:r>
                      <a:rPr lang="en-US" baseline="-25000"/>
                      <a:t>400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748-448E-9A74-9215D07FCC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6350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'TR médio'!$R$2:$R$7</c:f>
              <c:numCache>
                <c:formatCode>0.000000</c:formatCode>
                <c:ptCount val="6"/>
                <c:pt idx="0">
                  <c:v>164.012844</c:v>
                </c:pt>
                <c:pt idx="1">
                  <c:v>164.012844</c:v>
                </c:pt>
                <c:pt idx="2">
                  <c:v>164.012844</c:v>
                </c:pt>
                <c:pt idx="3">
                  <c:v>164.012844</c:v>
                </c:pt>
                <c:pt idx="4">
                  <c:v>164.012844</c:v>
                </c:pt>
                <c:pt idx="5">
                  <c:v>164.012844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748-448E-9A74-9215D07FCC0C}"/>
            </c:ext>
          </c:extLst>
        </c:ser>
        <c:ser>
          <c:idx val="2"/>
          <c:order val="5"/>
          <c:tx>
            <c:strRef>
              <c:f>'TR médio'!$S$1</c:f>
              <c:strCache>
                <c:ptCount val="1"/>
                <c:pt idx="0">
                  <c:v>ILP_500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7.1119395691087564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ILP</a:t>
                    </a:r>
                    <a:r>
                      <a:rPr lang="en-US" baseline="-25000"/>
                      <a:t>500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748-448E-9A74-9215D07FCC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6350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'TR médio'!$S$2:$S$7</c:f>
              <c:numCache>
                <c:formatCode>0.000000</c:formatCode>
                <c:ptCount val="6"/>
                <c:pt idx="0">
                  <c:v>161.96032199999999</c:v>
                </c:pt>
                <c:pt idx="1">
                  <c:v>161.96032199999999</c:v>
                </c:pt>
                <c:pt idx="2">
                  <c:v>161.96032199999999</c:v>
                </c:pt>
                <c:pt idx="3">
                  <c:v>161.96032199999999</c:v>
                </c:pt>
                <c:pt idx="4">
                  <c:v>161.96032199999999</c:v>
                </c:pt>
                <c:pt idx="5">
                  <c:v>161.96032199999999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748-448E-9A74-9215D07FC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orientation val="minMax"/>
          <c:max val="2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b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ln>
                      <a:noFill/>
                    </a:ln>
                    <a:solidFill>
                      <a:sysClr val="windowText" lastClr="000000"/>
                    </a:solidFill>
                  </a:rPr>
                  <a:t>Average </a:t>
                </a:r>
                <a:r>
                  <a:rPr lang="pt-BR" baseline="0">
                    <a:ln>
                      <a:noFill/>
                    </a:ln>
                    <a:solidFill>
                      <a:sysClr val="windowText" lastClr="000000"/>
                    </a:solidFill>
                  </a:rPr>
                  <a:t> Delay (ms)</a:t>
                </a:r>
                <a:endParaRPr lang="pt-BR">
                  <a:ln>
                    <a:noFill/>
                  </a:ln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680555555555555E-3"/>
              <c:y val="0.17916166666666666"/>
            </c:manualLayout>
          </c:layout>
          <c:overlay val="0"/>
          <c:spPr>
            <a:noFill/>
            <a:ln w="6350">
              <a:noFill/>
            </a:ln>
            <a:effectLst/>
          </c:spPr>
          <c:txPr>
            <a:bodyPr rot="-5400000" spcFirstLastPara="1" vertOverflow="ellipsis" vert="horz" wrap="square" anchor="b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12700">
            <a:solidFill>
              <a:schemeClr val="tx1"/>
            </a:solidFill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6112"/>
        <c:crossesAt val="1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549588950092728"/>
          <c:y val="0.9265810808963264"/>
          <c:w val="0.56432555555555552"/>
          <c:h val="7.341899970836979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1</xdr:col>
          <xdr:colOff>790575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Gerar Análise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134620</xdr:colOff>
      <xdr:row>7</xdr:row>
      <xdr:rowOff>45720</xdr:rowOff>
    </xdr:from>
    <xdr:to>
      <xdr:col>15</xdr:col>
      <xdr:colOff>333634</xdr:colOff>
      <xdr:row>16</xdr:row>
      <xdr:rowOff>30367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4E5CC15-89B1-AEE3-DB38-70CB08ED7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241300</xdr:colOff>
      <xdr:row>7</xdr:row>
      <xdr:rowOff>77787</xdr:rowOff>
    </xdr:from>
    <xdr:to>
      <xdr:col>13</xdr:col>
      <xdr:colOff>524358</xdr:colOff>
      <xdr:row>16</xdr:row>
      <xdr:rowOff>62434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2722CC3-FADB-4014-7F7B-950C08AA8A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7</xdr:row>
      <xdr:rowOff>196849</xdr:rowOff>
    </xdr:from>
    <xdr:to>
      <xdr:col>13</xdr:col>
      <xdr:colOff>920114</xdr:colOff>
      <xdr:row>16</xdr:row>
      <xdr:rowOff>181496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6DBAC08-9668-0A2E-44F0-45E2157504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82550</xdr:colOff>
      <xdr:row>7</xdr:row>
      <xdr:rowOff>133349</xdr:rowOff>
    </xdr:from>
    <xdr:to>
      <xdr:col>13</xdr:col>
      <xdr:colOff>511285</xdr:colOff>
      <xdr:row>16</xdr:row>
      <xdr:rowOff>117996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DA52D86-E7D9-B7EE-9F86-671FD59F0A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8F35797-428A-43E6-A258-F4B13A32D089}" autoFormatId="16" applyNumberFormats="0" applyBorderFormats="0" applyFontFormats="0" applyPatternFormats="0" applyAlignmentFormats="0" applyWidthHeightFormats="0">
  <queryTableRefresh nextId="63">
    <queryTableFields count="18">
      <queryTableField id="45" name="Text Between Delimiters" tableColumnId="9"/>
      <queryTableField id="46" name="Devices" tableColumnId="10"/>
      <queryTableField id="47" name="Servers" tableColumnId="11"/>
      <queryTableField id="48" name="Tech" tableColumnId="12"/>
      <queryTableField id="49" name="ExeTime" tableColumnId="13"/>
      <queryTableField id="50" name="DCovered" tableColumnId="14"/>
      <queryTableField id="51" name="DServed" tableColumnId="15"/>
      <queryTableField id="52" name="Atendimento" tableColumnId="16"/>
      <queryTableField id="53" name="DServedEC" tableColumnId="17"/>
      <queryTableField id="54" name="DServedCC" tableColumnId="18"/>
      <queryTableField id="55" name="SUsed" tableColumnId="19"/>
      <queryTableField id="56" name="SUsedEC" tableColumnId="20"/>
      <queryTableField id="57" name="SUsedCC" tableColumnId="21"/>
      <queryTableField id="58" name="TotalCost" tableColumnId="22"/>
      <queryTableField id="59" name="CostNCoverage" tableColumnId="23"/>
      <queryTableField id="60" name="CostNService" tableColumnId="24"/>
      <queryTableField id="61" name="CostS" tableColumnId="25"/>
      <queryTableField id="62" name="Avg.RTime" tableColumnId="2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F05EE274-D9D2-4790-A473-FB8F51AF76AC}" autoFormatId="16" applyNumberFormats="0" applyBorderFormats="0" applyFontFormats="0" applyPatternFormats="0" applyAlignmentFormats="0" applyWidthHeightFormats="0">
  <queryTableRefresh nextId="32">
    <queryTableFields count="21">
      <queryTableField id="25" name="Custom" tableColumnId="3"/>
      <queryTableField id="2" name="Devices" tableColumnId="2"/>
      <queryTableField id="26" name="Servers" tableColumnId="4"/>
      <queryTableField id="27" name="Tech" tableColumnId="21"/>
      <queryTableField id="5" name="ExeTime" tableColumnId="5"/>
      <queryTableField id="6" name="DCovered" tableColumnId="6"/>
      <queryTableField id="7" name="DServed" tableColumnId="7"/>
      <queryTableField id="23" name="Atendimento" tableColumnId="1"/>
      <queryTableField id="8" name="DServedEC" tableColumnId="8"/>
      <queryTableField id="9" name="DServedCC" tableColumnId="9"/>
      <queryTableField id="10" name="SUsed" tableColumnId="10"/>
      <queryTableField id="11" name="SUsedEC" tableColumnId="11"/>
      <queryTableField id="12" name="SUsedCC" tableColumnId="12"/>
      <queryTableField id="13" name="TotalCost" tableColumnId="13"/>
      <queryTableField id="14" name="CostNCoverage" tableColumnId="14"/>
      <queryTableField id="15" name="CostNService" tableColumnId="15"/>
      <queryTableField id="16" name="CostS" tableColumnId="16"/>
      <queryTableField id="17" name="Avg.RTime" tableColumnId="17"/>
      <queryTableField id="18" name="Temperature" tableColumnId="18"/>
      <queryTableField id="19" name="Alpha" tableColumnId="19"/>
      <queryTableField id="20" name="Heuristic" tableColumnId="2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EAF48549-9A31-4F55-99A8-D71B51607AFD}" autoFormatId="16" applyNumberFormats="0" applyBorderFormats="0" applyFontFormats="0" applyPatternFormats="0" applyAlignmentFormats="0" applyWidthHeightFormats="0">
  <queryTableRefresh nextId="33">
    <queryTableFields count="21">
      <queryTableField id="27" name="Text Between Delimiters" tableColumnId="3"/>
      <queryTableField id="2" name="Devices" tableColumnId="2"/>
      <queryTableField id="28" name="Servers" tableColumnId="4"/>
      <queryTableField id="29" name="Tech" tableColumnId="21"/>
      <queryTableField id="5" name="ExeTime" tableColumnId="5"/>
      <queryTableField id="6" name="DCovered" tableColumnId="6"/>
      <queryTableField id="7" name="DServed" tableColumnId="7"/>
      <queryTableField id="25" name="Atendimento" tableColumnId="1"/>
      <queryTableField id="8" name="DServedEC" tableColumnId="8"/>
      <queryTableField id="9" name="DServedCC" tableColumnId="9"/>
      <queryTableField id="10" name="SUsed" tableColumnId="10"/>
      <queryTableField id="11" name="SUsedEC" tableColumnId="11"/>
      <queryTableField id="12" name="SUsedCC" tableColumnId="12"/>
      <queryTableField id="13" name="TotalCost" tableColumnId="13"/>
      <queryTableField id="14" name="CostNCoverage" tableColumnId="14"/>
      <queryTableField id="15" name="CostNService" tableColumnId="15"/>
      <queryTableField id="16" name="CostS" tableColumnId="16"/>
      <queryTableField id="17" name="Avg.RTime" tableColumnId="17"/>
      <queryTableField id="18" name="Status" tableColumnId="18"/>
      <queryTableField id="19" name="OF" tableColumnId="19"/>
      <queryTableField id="20" name="GAP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3D2D71-1200-430E-904D-E0ED70CBC81B}" name="Heuristic" displayName="Heuristic" ref="A1:R364" tableType="queryTable" totalsRowShown="0">
  <autoFilter ref="A1:R364" xr:uid="{973D2D71-1200-430E-904D-E0ED70CBC81B}"/>
  <tableColumns count="18">
    <tableColumn id="9" xr3:uid="{4864A66B-B7B2-424E-BA31-D45E0828DA60}" uniqueName="9" name="Text Between Delimiters" queryTableFieldId="45" dataDxfId="50"/>
    <tableColumn id="10" xr3:uid="{32BA6850-57DC-4E98-A7D3-4F1037EC13C1}" uniqueName="10" name="Devices" queryTableFieldId="46"/>
    <tableColumn id="11" xr3:uid="{CC099ED3-B475-4FB6-A76C-4F5E2B512DD3}" uniqueName="11" name="Servers" queryTableFieldId="47"/>
    <tableColumn id="12" xr3:uid="{46F26CEB-C98E-4DE4-B518-ABB579690DA3}" uniqueName="12" name="Tech" queryTableFieldId="48"/>
    <tableColumn id="13" xr3:uid="{5FAEC2C2-5E21-44A3-9EAF-0AD351F617A6}" uniqueName="13" name="ExeTime" queryTableFieldId="49" dataDxfId="49"/>
    <tableColumn id="14" xr3:uid="{A39DC203-F68B-41E8-8FFC-6296FD01E9FA}" uniqueName="14" name="DCovered" queryTableFieldId="50" dataDxfId="48"/>
    <tableColumn id="15" xr3:uid="{F8228D3A-864C-4F5A-8EB4-B9ADB7D6E7F5}" uniqueName="15" name="DServed" queryTableFieldId="51" dataDxfId="47"/>
    <tableColumn id="16" xr3:uid="{EEDEB825-BA86-4BC1-9360-C3E7C0175404}" uniqueName="16" name="Atendimento" queryTableFieldId="52" dataDxfId="46"/>
    <tableColumn id="17" xr3:uid="{BDB59CFF-4DE1-4CF6-9672-78B752D32E13}" uniqueName="17" name="DServedEC" queryTableFieldId="53" dataDxfId="45"/>
    <tableColumn id="18" xr3:uid="{808E4A5D-F3B6-4118-B8F7-C49519FBF46E}" uniqueName="18" name="DServedCC" queryTableFieldId="54" dataDxfId="44"/>
    <tableColumn id="19" xr3:uid="{663CF920-C684-49B7-A1EB-C38027E1202E}" uniqueName="19" name="SUsed" queryTableFieldId="55" dataDxfId="43"/>
    <tableColumn id="20" xr3:uid="{D0E5D6AE-EC1F-4E8F-91CA-49F25AF1C5DD}" uniqueName="20" name="SUsedEC" queryTableFieldId="56" dataDxfId="42"/>
    <tableColumn id="21" xr3:uid="{55AC836F-0C6F-4E85-A85F-702DA1476F50}" uniqueName="21" name="SUsedCC" queryTableFieldId="57" dataDxfId="41"/>
    <tableColumn id="22" xr3:uid="{85851F56-A411-44C1-BEF6-4D7E691A44F3}" uniqueName="22" name="TotalCost" queryTableFieldId="58" dataDxfId="40"/>
    <tableColumn id="23" xr3:uid="{7D3206DC-0513-48F7-B934-7BA7804C2CF5}" uniqueName="23" name="CostNCoverage" queryTableFieldId="59" dataDxfId="39"/>
    <tableColumn id="24" xr3:uid="{80229F30-C545-4173-B6B7-C4DAD27EE2FC}" uniqueName="24" name="CostNService" queryTableFieldId="60" dataDxfId="38"/>
    <tableColumn id="25" xr3:uid="{74B67147-9A58-4E78-8939-7F76DE2D664D}" uniqueName="25" name="CostS" queryTableFieldId="61" dataDxfId="37"/>
    <tableColumn id="26" xr3:uid="{78813FDE-DC22-47FF-BD38-FB68402211D1}" uniqueName="26" name="Avg.RTime" queryTableFieldId="62" dataDxfId="3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AEE765-0178-43BC-A322-E7F34A1EBB7D}" name="MetaHeuristic" displayName="MetaHeuristic" ref="A1:U721" tableType="queryTable" totalsRowShown="0">
  <autoFilter ref="A1:U721" xr:uid="{0CAEE765-0178-43BC-A322-E7F34A1EBB7D}">
    <filterColumn colId="1">
      <filters>
        <filter val="300"/>
      </filters>
    </filterColumn>
  </autoFilter>
  <sortState xmlns:xlrd2="http://schemas.microsoft.com/office/spreadsheetml/2017/richdata2" ref="A2:U721">
    <sortCondition ref="N1:N721"/>
  </sortState>
  <tableColumns count="21">
    <tableColumn id="3" xr3:uid="{BFADF441-4066-49E4-B226-ACF6685CE2BB}" uniqueName="3" name="Custom" queryTableFieldId="25" dataDxfId="35"/>
    <tableColumn id="2" xr3:uid="{CAE26C70-A612-4EE3-BE40-8B6DB4AD633B}" uniqueName="2" name="Devices" queryTableFieldId="2" dataDxfId="34"/>
    <tableColumn id="4" xr3:uid="{B2E9BE09-93FE-4823-813E-8048C56F38BA}" uniqueName="4" name="Servers" queryTableFieldId="26"/>
    <tableColumn id="21" xr3:uid="{84374057-E94A-4943-8C1F-166AD981A0B1}" uniqueName="21" name="Tech" queryTableFieldId="27"/>
    <tableColumn id="5" xr3:uid="{41D7A175-0F43-49D1-9E63-1DAEE7360A3E}" uniqueName="5" name="ExeTime" queryTableFieldId="5" dataDxfId="33"/>
    <tableColumn id="6" xr3:uid="{0DC57B27-B452-45DC-9D9A-736855518EA3}" uniqueName="6" name="DCovered" queryTableFieldId="6" dataDxfId="32"/>
    <tableColumn id="7" xr3:uid="{87463E3E-EB03-4E9C-8404-1C9195CD4EE7}" uniqueName="7" name="DServed" queryTableFieldId="7" dataDxfId="31"/>
    <tableColumn id="1" xr3:uid="{3FA4E690-8E87-4DE5-95B9-8841EEF2818C}" uniqueName="1" name="Atendimento" queryTableFieldId="23"/>
    <tableColumn id="8" xr3:uid="{5BBCE2E1-D6CB-412C-8BFD-3A14E8020043}" uniqueName="8" name="DServedEC" queryTableFieldId="8" dataDxfId="30"/>
    <tableColumn id="9" xr3:uid="{C6D697D4-316F-43BE-8A0F-FEBF4F310761}" uniqueName="9" name="DServedCC" queryTableFieldId="9" dataDxfId="29"/>
    <tableColumn id="10" xr3:uid="{1F156DAA-E65E-46DC-9FF9-2C33B581C590}" uniqueName="10" name="SUsed" queryTableFieldId="10" dataDxfId="28"/>
    <tableColumn id="11" xr3:uid="{FB13057D-5EB5-4AE7-8F0D-6DC4DC34BBE9}" uniqueName="11" name="SUsedEC" queryTableFieldId="11" dataDxfId="27"/>
    <tableColumn id="12" xr3:uid="{412C954B-15BD-4320-9EDF-1164D01481E3}" uniqueName="12" name="SUsedCC" queryTableFieldId="12" dataDxfId="26"/>
    <tableColumn id="13" xr3:uid="{65DC05B4-E6DB-46DA-8045-7F1651F915FB}" uniqueName="13" name="TotalCost" queryTableFieldId="13" dataDxfId="25"/>
    <tableColumn id="14" xr3:uid="{2D2B0E47-14C0-45E7-B86C-842ADEFD4EFC}" uniqueName="14" name="CostNCoverage" queryTableFieldId="14" dataDxfId="24"/>
    <tableColumn id="15" xr3:uid="{D307A125-9A2B-4EAB-933E-D2395E73EF6F}" uniqueName="15" name="CostNService" queryTableFieldId="15" dataDxfId="23"/>
    <tableColumn id="16" xr3:uid="{D5801CEF-060C-433E-AF40-7A7450D4DD81}" uniqueName="16" name="CostS" queryTableFieldId="16" dataDxfId="22"/>
    <tableColumn id="17" xr3:uid="{3280CA24-B4DB-401C-8B4C-38DD9ACC6362}" uniqueName="17" name="Avg.RTime" queryTableFieldId="17" dataDxfId="21"/>
    <tableColumn id="18" xr3:uid="{9054C76B-A887-4357-BD8D-DB854187153C}" uniqueName="18" name="Temperature" queryTableFieldId="18" dataDxfId="20"/>
    <tableColumn id="19" xr3:uid="{68EF5113-F538-45F1-AE12-6A9F3FD21B4E}" uniqueName="19" name="Alpha" queryTableFieldId="19" dataDxfId="19"/>
    <tableColumn id="20" xr3:uid="{EF2E655A-85A2-4FD7-AF6F-11933A0B7CF2}" uniqueName="20" name="Heuristic" queryTableFieldId="20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EB2D16-FD60-4175-9D98-BD197CDC3771}" name="Mathematical" displayName="Mathematical" ref="A1:U4" tableType="queryTable" totalsRowShown="0">
  <autoFilter ref="A1:U4" xr:uid="{2AEB2D16-FD60-4175-9D98-BD197CDC3771}">
    <filterColumn colId="1">
      <filters>
        <filter val="300"/>
        <filter val="400"/>
        <filter val="500"/>
        <filter val="600"/>
      </filters>
    </filterColumn>
  </autoFilter>
  <tableColumns count="21">
    <tableColumn id="3" xr3:uid="{1EF96713-2730-463A-84E2-3BB04B987AE1}" uniqueName="3" name="Text Between Delimiters" queryTableFieldId="27" dataDxfId="17"/>
    <tableColumn id="2" xr3:uid="{B9F6898B-7A22-49AA-BC22-16A714498D3A}" uniqueName="2" name="Devices" queryTableFieldId="2" dataDxfId="16"/>
    <tableColumn id="4" xr3:uid="{18933E73-0523-4FED-A37C-EB2016133D3D}" uniqueName="4" name="Servers" queryTableFieldId="28"/>
    <tableColumn id="21" xr3:uid="{8A4C1834-B7BC-4770-97B8-9086ECB59162}" uniqueName="21" name="Tech" queryTableFieldId="29"/>
    <tableColumn id="5" xr3:uid="{9C1C27D5-EB86-41D8-B138-CD5F56576FB9}" uniqueName="5" name="ExeTime" queryTableFieldId="5" dataDxfId="15"/>
    <tableColumn id="6" xr3:uid="{D3090A7C-C96C-4773-9665-A249F6B4B719}" uniqueName="6" name="DCovered" queryTableFieldId="6" dataDxfId="14"/>
    <tableColumn id="7" xr3:uid="{8A6350D5-26CC-49F0-A44A-3B5065142154}" uniqueName="7" name="DServed" queryTableFieldId="7" dataDxfId="13"/>
    <tableColumn id="1" xr3:uid="{6663452E-961C-4D4B-A416-47FBBA598EF1}" uniqueName="1" name="Atendimento" queryTableFieldId="25"/>
    <tableColumn id="8" xr3:uid="{03AD383C-3FD3-4FF6-9197-FBAB63C59F68}" uniqueName="8" name="DServedEC" queryTableFieldId="8" dataDxfId="12"/>
    <tableColumn id="9" xr3:uid="{4F7731E4-8280-4D67-9D9C-8B027D7C3B9E}" uniqueName="9" name="DServedCC" queryTableFieldId="9" dataDxfId="11"/>
    <tableColumn id="10" xr3:uid="{CE5C1287-B6EC-4B0D-BD4A-93A1575C63B8}" uniqueName="10" name="SUsed" queryTableFieldId="10" dataDxfId="10"/>
    <tableColumn id="11" xr3:uid="{0A33C215-39A0-4975-B5EA-0E42C4C566BB}" uniqueName="11" name="SUsedEC" queryTableFieldId="11" dataDxfId="9"/>
    <tableColumn id="12" xr3:uid="{73C786F9-521C-43ED-9DB7-55AF8892B9F2}" uniqueName="12" name="SUsedCC" queryTableFieldId="12" dataDxfId="8"/>
    <tableColumn id="13" xr3:uid="{3CA68A15-BC8A-4653-BC57-516FE14A5F1C}" uniqueName="13" name="TotalCost" queryTableFieldId="13" dataDxfId="7"/>
    <tableColumn id="14" xr3:uid="{BB5936B9-EE7B-47FC-A904-B4EB2BEEE516}" uniqueName="14" name="CostNCoverage" queryTableFieldId="14" dataDxfId="6"/>
    <tableColumn id="15" xr3:uid="{9FAF200C-7FCD-4057-A3AE-B9EFEBDD8B89}" uniqueName="15" name="CostNService" queryTableFieldId="15" dataDxfId="5"/>
    <tableColumn id="16" xr3:uid="{4F33065A-CB63-4862-A9F9-95FA552217F8}" uniqueName="16" name="CostS" queryTableFieldId="16" dataDxfId="4"/>
    <tableColumn id="17" xr3:uid="{D24054CD-4DEC-47A6-A861-9CC26A5B91B3}" uniqueName="17" name="Avg.RTime" queryTableFieldId="17" dataDxfId="3"/>
    <tableColumn id="18" xr3:uid="{7A408641-CF49-413A-ADF1-4D31F35B44D2}" uniqueName="18" name="Status" queryTableFieldId="18" dataDxfId="2"/>
    <tableColumn id="19" xr3:uid="{38482A43-B4E2-4F07-B044-E3DF4E472593}" uniqueName="19" name="OF" queryTableFieldId="19" dataDxfId="1"/>
    <tableColumn id="20" xr3:uid="{4673B17E-58B4-41C3-9983-0C09289E93E9}" uniqueName="20" name="GAP" queryTableFieldId="2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29F76-96D4-4E12-B400-46F1438A52C9}">
  <sheetPr codeName="Planilha1"/>
  <dimension ref="A1:R364"/>
  <sheetViews>
    <sheetView topLeftCell="A5" zoomScale="130" zoomScaleNormal="130" workbookViewId="0">
      <selection activeCell="V11" sqref="V11"/>
    </sheetView>
  </sheetViews>
  <sheetFormatPr defaultRowHeight="15" x14ac:dyDescent="0.25"/>
  <cols>
    <col min="1" max="1" width="25.85546875" bestFit="1" customWidth="1"/>
    <col min="2" max="2" width="10.5703125" bestFit="1" customWidth="1"/>
    <col min="3" max="3" width="10.140625" bestFit="1" customWidth="1"/>
    <col min="4" max="4" width="7.5703125" bestFit="1" customWidth="1"/>
    <col min="5" max="5" width="11.140625" bestFit="1" customWidth="1"/>
    <col min="6" max="6" width="12.5703125" bestFit="1" customWidth="1"/>
    <col min="7" max="7" width="11.140625" bestFit="1" customWidth="1"/>
    <col min="8" max="8" width="15.140625" bestFit="1" customWidth="1"/>
    <col min="9" max="9" width="13.7109375" bestFit="1" customWidth="1"/>
    <col min="10" max="10" width="14" bestFit="1" customWidth="1"/>
    <col min="11" max="11" width="10.5703125" bestFit="1" customWidth="1"/>
    <col min="12" max="12" width="11.7109375" bestFit="1" customWidth="1"/>
    <col min="13" max="13" width="12" bestFit="1" customWidth="1"/>
    <col min="14" max="14" width="12.5703125" bestFit="1" customWidth="1"/>
    <col min="15" max="15" width="17.85546875" bestFit="1" customWidth="1"/>
    <col min="16" max="16" width="16" bestFit="1" customWidth="1"/>
    <col min="17" max="17" width="9.5703125" bestFit="1" customWidth="1"/>
    <col min="18" max="18" width="12.85546875" bestFit="1" customWidth="1"/>
    <col min="19" max="19" width="16" bestFit="1" customWidth="1"/>
    <col min="20" max="20" width="12.28515625" bestFit="1" customWidth="1"/>
    <col min="21" max="21" width="16.5703125" bestFit="1" customWidth="1"/>
    <col min="22" max="22" width="16.28515625" bestFit="1" customWidth="1"/>
    <col min="23" max="23" width="15.5703125" bestFit="1" customWidth="1"/>
    <col min="24" max="24" width="66.42578125" bestFit="1" customWidth="1"/>
    <col min="25" max="25" width="10.5703125" bestFit="1" customWidth="1"/>
    <col min="26" max="26" width="10.140625" bestFit="1" customWidth="1"/>
    <col min="27" max="27" width="7.5703125" bestFit="1" customWidth="1"/>
    <col min="28" max="28" width="11" bestFit="1" customWidth="1"/>
    <col min="29" max="29" width="12.42578125" bestFit="1" customWidth="1"/>
    <col min="30" max="30" width="11" bestFit="1" customWidth="1"/>
    <col min="31" max="31" width="13.5703125" bestFit="1" customWidth="1"/>
    <col min="32" max="32" width="13.85546875" bestFit="1" customWidth="1"/>
    <col min="33" max="33" width="9.5703125" bestFit="1" customWidth="1"/>
    <col min="34" max="34" width="11.5703125" bestFit="1" customWidth="1"/>
    <col min="35" max="35" width="11.85546875" bestFit="1" customWidth="1"/>
    <col min="36" max="36" width="12" bestFit="1" customWidth="1"/>
    <col min="37" max="37" width="17.7109375" bestFit="1" customWidth="1"/>
    <col min="38" max="38" width="15.85546875" bestFit="1" customWidth="1"/>
    <col min="39" max="39" width="8.7109375" bestFit="1" customWidth="1"/>
    <col min="40" max="40" width="12.7109375" bestFit="1" customWidth="1"/>
    <col min="41" max="41" width="8.7109375" bestFit="1" customWidth="1"/>
    <col min="42" max="42" width="12.7109375" customWidth="1"/>
    <col min="43" max="43" width="10.5703125" bestFit="1" customWidth="1"/>
    <col min="44" max="44" width="10.140625" bestFit="1" customWidth="1"/>
    <col min="45" max="45" width="7.5703125" bestFit="1" customWidth="1"/>
    <col min="46" max="46" width="11" bestFit="1" customWidth="1"/>
    <col min="47" max="47" width="12.42578125" bestFit="1" customWidth="1"/>
    <col min="48" max="48" width="11" bestFit="1" customWidth="1"/>
    <col min="49" max="49" width="13.5703125" bestFit="1" customWidth="1"/>
    <col min="50" max="50" width="13.85546875" bestFit="1" customWidth="1"/>
    <col min="51" max="51" width="9" bestFit="1" customWidth="1"/>
    <col min="52" max="52" width="11.5703125" bestFit="1" customWidth="1"/>
    <col min="53" max="53" width="11.85546875" bestFit="1" customWidth="1"/>
    <col min="54" max="54" width="12" bestFit="1" customWidth="1"/>
    <col min="55" max="55" width="17.7109375" bestFit="1" customWidth="1"/>
    <col min="56" max="56" width="15.85546875" bestFit="1" customWidth="1"/>
    <col min="57" max="57" width="8.7109375" bestFit="1" customWidth="1"/>
    <col min="58" max="59" width="12.7109375" bestFit="1" customWidth="1"/>
  </cols>
  <sheetData>
    <row r="1" spans="1:18" x14ac:dyDescent="0.25">
      <c r="A1" t="s">
        <v>52</v>
      </c>
      <c r="B1" t="s">
        <v>0</v>
      </c>
      <c r="C1" t="s">
        <v>50</v>
      </c>
      <c r="D1" t="s">
        <v>51</v>
      </c>
      <c r="E1" t="s">
        <v>1</v>
      </c>
      <c r="F1" t="s">
        <v>2</v>
      </c>
      <c r="G1" t="s">
        <v>3</v>
      </c>
      <c r="H1" t="s">
        <v>36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</row>
    <row r="2" spans="1:18" x14ac:dyDescent="0.25">
      <c r="A2" t="s">
        <v>17</v>
      </c>
      <c r="B2">
        <v>300</v>
      </c>
      <c r="C2">
        <v>105</v>
      </c>
      <c r="D2">
        <v>4</v>
      </c>
      <c r="E2" s="28">
        <v>3.3199999999999999E-4</v>
      </c>
      <c r="F2" s="28">
        <v>94.333299999999994</v>
      </c>
      <c r="G2" s="28">
        <v>67</v>
      </c>
      <c r="H2" s="28">
        <v>0.71024760079420524</v>
      </c>
      <c r="I2" s="28">
        <v>97.5124</v>
      </c>
      <c r="J2" s="28">
        <v>2.4876</v>
      </c>
      <c r="K2" s="28">
        <v>83.8095</v>
      </c>
      <c r="L2" s="28">
        <v>83</v>
      </c>
      <c r="M2" s="28">
        <v>100</v>
      </c>
      <c r="N2" s="28">
        <v>706.36671000000001</v>
      </c>
      <c r="O2" s="28">
        <v>107.5</v>
      </c>
      <c r="P2" s="28">
        <v>598.6</v>
      </c>
      <c r="Q2" s="28">
        <v>0.26671</v>
      </c>
      <c r="R2" s="28">
        <v>122.591471</v>
      </c>
    </row>
    <row r="3" spans="1:18" x14ac:dyDescent="0.25">
      <c r="A3" t="s">
        <v>17</v>
      </c>
      <c r="B3">
        <v>400</v>
      </c>
      <c r="C3">
        <v>105</v>
      </c>
      <c r="D3">
        <v>4</v>
      </c>
      <c r="E3" s="28">
        <v>4.1199999999999999E-4</v>
      </c>
      <c r="F3" s="28">
        <v>92.25</v>
      </c>
      <c r="G3" s="28">
        <v>53</v>
      </c>
      <c r="H3" s="28">
        <v>0.57452574525745259</v>
      </c>
      <c r="I3" s="28">
        <v>97.641499999999994</v>
      </c>
      <c r="J3" s="28">
        <v>2.3584999999999998</v>
      </c>
      <c r="K3" s="28">
        <v>89.523799999999994</v>
      </c>
      <c r="L3" s="28">
        <v>89</v>
      </c>
      <c r="M3" s="28">
        <v>100</v>
      </c>
      <c r="N3" s="28">
        <v>1343.4716599999999</v>
      </c>
      <c r="O3" s="28">
        <v>208.1</v>
      </c>
      <c r="P3" s="28">
        <v>1135.0999999999999</v>
      </c>
      <c r="Q3" s="28">
        <v>0.27166000000000001</v>
      </c>
      <c r="R3" s="28">
        <v>125.12968499999999</v>
      </c>
    </row>
    <row r="4" spans="1:18" x14ac:dyDescent="0.25">
      <c r="A4" t="s">
        <v>17</v>
      </c>
      <c r="B4">
        <v>500</v>
      </c>
      <c r="C4">
        <v>105</v>
      </c>
      <c r="D4">
        <v>4</v>
      </c>
      <c r="E4" s="28">
        <v>5.4799999999999998E-4</v>
      </c>
      <c r="F4" s="28">
        <v>92.2</v>
      </c>
      <c r="G4" s="28">
        <v>45</v>
      </c>
      <c r="H4" s="28">
        <v>0.48806941431670281</v>
      </c>
      <c r="I4" s="28">
        <v>97.777799999999999</v>
      </c>
      <c r="J4" s="28">
        <v>2.2222</v>
      </c>
      <c r="K4" s="28">
        <v>95.238100000000003</v>
      </c>
      <c r="L4" s="28">
        <v>95</v>
      </c>
      <c r="M4" s="28">
        <v>100</v>
      </c>
      <c r="N4" s="28">
        <v>1933.17812</v>
      </c>
      <c r="O4" s="28">
        <v>256.3</v>
      </c>
      <c r="P4" s="28">
        <v>1676.6</v>
      </c>
      <c r="Q4" s="28">
        <v>0.27811999999999998</v>
      </c>
      <c r="R4" s="28">
        <v>126.069828</v>
      </c>
    </row>
    <row r="5" spans="1:18" x14ac:dyDescent="0.25">
      <c r="A5" t="s">
        <v>18</v>
      </c>
      <c r="B5">
        <v>300</v>
      </c>
      <c r="C5">
        <v>105</v>
      </c>
      <c r="D5">
        <v>4</v>
      </c>
      <c r="E5" s="28">
        <v>4.1999999999999998E-5</v>
      </c>
      <c r="F5" s="28">
        <v>94.333299999999994</v>
      </c>
      <c r="G5" s="28">
        <v>57.333300000000001</v>
      </c>
      <c r="H5" s="28">
        <v>0.60777371299424487</v>
      </c>
      <c r="I5" s="28">
        <v>69.186000000000007</v>
      </c>
      <c r="J5" s="28">
        <v>30.814</v>
      </c>
      <c r="K5" s="28">
        <v>72.381</v>
      </c>
      <c r="L5" s="28">
        <v>71</v>
      </c>
      <c r="M5" s="28">
        <v>100</v>
      </c>
      <c r="N5" s="28">
        <v>886.45165999999995</v>
      </c>
      <c r="O5" s="28">
        <v>107.5</v>
      </c>
      <c r="P5" s="28">
        <v>778.7</v>
      </c>
      <c r="Q5" s="28">
        <v>0.25165999999999999</v>
      </c>
      <c r="R5" s="28">
        <v>156.13212999999999</v>
      </c>
    </row>
    <row r="6" spans="1:18" x14ac:dyDescent="0.25">
      <c r="A6" t="s">
        <v>18</v>
      </c>
      <c r="B6">
        <v>300</v>
      </c>
      <c r="C6">
        <v>105</v>
      </c>
      <c r="D6">
        <v>4</v>
      </c>
      <c r="E6" s="28">
        <v>2.1999999999999999E-5</v>
      </c>
      <c r="F6" s="28">
        <v>94.333299999999994</v>
      </c>
      <c r="G6" s="28">
        <v>56.666699999999999</v>
      </c>
      <c r="H6" s="28">
        <v>0.60070727940186552</v>
      </c>
      <c r="I6" s="28">
        <v>75.882400000000004</v>
      </c>
      <c r="J6" s="28">
        <v>24.117599999999999</v>
      </c>
      <c r="K6" s="28">
        <v>69.523799999999994</v>
      </c>
      <c r="L6" s="28">
        <v>68</v>
      </c>
      <c r="M6" s="28">
        <v>100</v>
      </c>
      <c r="N6" s="28">
        <v>920.44777999999997</v>
      </c>
      <c r="O6" s="28">
        <v>107.5</v>
      </c>
      <c r="P6" s="28">
        <v>812.7</v>
      </c>
      <c r="Q6" s="28">
        <v>0.24778</v>
      </c>
      <c r="R6" s="28">
        <v>144.40105</v>
      </c>
    </row>
    <row r="7" spans="1:18" x14ac:dyDescent="0.25">
      <c r="A7" t="s">
        <v>18</v>
      </c>
      <c r="B7">
        <v>300</v>
      </c>
      <c r="C7">
        <v>105</v>
      </c>
      <c r="D7">
        <v>4</v>
      </c>
      <c r="E7" s="28">
        <v>2.0000000000000002E-5</v>
      </c>
      <c r="F7" s="28">
        <v>94.333299999999994</v>
      </c>
      <c r="G7" s="28">
        <v>56</v>
      </c>
      <c r="H7" s="28">
        <v>0.59363978573844023</v>
      </c>
      <c r="I7" s="28">
        <v>73.214299999999994</v>
      </c>
      <c r="J7" s="28">
        <v>26.785699999999999</v>
      </c>
      <c r="K7" s="28">
        <v>71.428600000000003</v>
      </c>
      <c r="L7" s="28">
        <v>70</v>
      </c>
      <c r="M7" s="28">
        <v>100</v>
      </c>
      <c r="N7" s="28">
        <v>935.04971999999998</v>
      </c>
      <c r="O7" s="28">
        <v>107.5</v>
      </c>
      <c r="P7" s="28">
        <v>827.3</v>
      </c>
      <c r="Q7" s="28">
        <v>0.24972</v>
      </c>
      <c r="R7" s="28">
        <v>148.53987599999999</v>
      </c>
    </row>
    <row r="8" spans="1:18" x14ac:dyDescent="0.25">
      <c r="A8" t="s">
        <v>18</v>
      </c>
      <c r="B8">
        <v>300</v>
      </c>
      <c r="C8">
        <v>105</v>
      </c>
      <c r="D8">
        <v>4</v>
      </c>
      <c r="E8" s="28">
        <v>2.0999999999999999E-5</v>
      </c>
      <c r="F8" s="28">
        <v>94.333299999999994</v>
      </c>
      <c r="G8" s="28">
        <v>56</v>
      </c>
      <c r="H8" s="28">
        <v>0.59363978573844023</v>
      </c>
      <c r="I8" s="28">
        <v>67.857100000000003</v>
      </c>
      <c r="J8" s="28">
        <v>32.142899999999997</v>
      </c>
      <c r="K8" s="28">
        <v>68.571399999999997</v>
      </c>
      <c r="L8" s="28">
        <v>67</v>
      </c>
      <c r="M8" s="28">
        <v>100</v>
      </c>
      <c r="N8" s="28">
        <v>947.24698000000001</v>
      </c>
      <c r="O8" s="28">
        <v>107.5</v>
      </c>
      <c r="P8" s="28">
        <v>839.5</v>
      </c>
      <c r="Q8" s="28">
        <v>0.24698000000000001</v>
      </c>
      <c r="R8" s="28">
        <v>154.883441</v>
      </c>
    </row>
    <row r="9" spans="1:18" x14ac:dyDescent="0.25">
      <c r="A9" t="s">
        <v>18</v>
      </c>
      <c r="B9">
        <v>300</v>
      </c>
      <c r="C9">
        <v>105</v>
      </c>
      <c r="D9">
        <v>4</v>
      </c>
      <c r="E9" s="28">
        <v>6.3999999999999997E-5</v>
      </c>
      <c r="F9" s="28">
        <v>94.333299999999994</v>
      </c>
      <c r="G9" s="28">
        <v>53.333300000000001</v>
      </c>
      <c r="H9" s="28">
        <v>0.56537087115578488</v>
      </c>
      <c r="I9" s="28">
        <v>72.5</v>
      </c>
      <c r="J9" s="28">
        <v>27.5</v>
      </c>
      <c r="K9" s="28">
        <v>69.523799999999994</v>
      </c>
      <c r="L9" s="28">
        <v>68</v>
      </c>
      <c r="M9" s="28">
        <v>100</v>
      </c>
      <c r="N9" s="28">
        <v>953.04733999999996</v>
      </c>
      <c r="O9" s="28">
        <v>107.5</v>
      </c>
      <c r="P9" s="28">
        <v>845.3</v>
      </c>
      <c r="Q9" s="28">
        <v>0.24734</v>
      </c>
      <c r="R9" s="28">
        <v>154.582852</v>
      </c>
    </row>
    <row r="10" spans="1:18" x14ac:dyDescent="0.25">
      <c r="A10" t="s">
        <v>18</v>
      </c>
      <c r="B10">
        <v>300</v>
      </c>
      <c r="C10">
        <v>105</v>
      </c>
      <c r="D10">
        <v>4</v>
      </c>
      <c r="E10" s="28">
        <v>2.5999999999999998E-5</v>
      </c>
      <c r="F10" s="28">
        <v>94.333299999999994</v>
      </c>
      <c r="G10" s="28">
        <v>56.333300000000001</v>
      </c>
      <c r="H10" s="28">
        <v>0.5971730025346299</v>
      </c>
      <c r="I10" s="28">
        <v>74.556200000000004</v>
      </c>
      <c r="J10" s="28">
        <v>25.4438</v>
      </c>
      <c r="K10" s="28">
        <v>71.428600000000003</v>
      </c>
      <c r="L10" s="28">
        <v>70</v>
      </c>
      <c r="M10" s="28">
        <v>100</v>
      </c>
      <c r="N10" s="28">
        <v>938.15013999999996</v>
      </c>
      <c r="O10" s="28">
        <v>107.5</v>
      </c>
      <c r="P10" s="28">
        <v>830.4</v>
      </c>
      <c r="Q10" s="28">
        <v>0.25013999999999997</v>
      </c>
      <c r="R10" s="28">
        <v>147.77014199999999</v>
      </c>
    </row>
    <row r="11" spans="1:18" x14ac:dyDescent="0.25">
      <c r="A11" t="s">
        <v>18</v>
      </c>
      <c r="B11">
        <v>300</v>
      </c>
      <c r="C11">
        <v>105</v>
      </c>
      <c r="D11">
        <v>4</v>
      </c>
      <c r="E11" s="28">
        <v>2.0000000000000002E-5</v>
      </c>
      <c r="F11" s="28">
        <v>94.333299999999994</v>
      </c>
      <c r="G11" s="28">
        <v>56</v>
      </c>
      <c r="H11" s="28">
        <v>0.59363978573844023</v>
      </c>
      <c r="I11" s="28">
        <v>68.452399999999997</v>
      </c>
      <c r="J11" s="28">
        <v>31.547599999999999</v>
      </c>
      <c r="K11" s="28">
        <v>67.619</v>
      </c>
      <c r="L11" s="28">
        <v>66</v>
      </c>
      <c r="M11" s="28">
        <v>100</v>
      </c>
      <c r="N11" s="28">
        <v>928.24486999999999</v>
      </c>
      <c r="O11" s="28">
        <v>107.5</v>
      </c>
      <c r="P11" s="28">
        <v>820.5</v>
      </c>
      <c r="Q11" s="28">
        <v>0.24487</v>
      </c>
      <c r="R11" s="28">
        <v>154.66100900000001</v>
      </c>
    </row>
    <row r="12" spans="1:18" x14ac:dyDescent="0.25">
      <c r="A12" t="s">
        <v>18</v>
      </c>
      <c r="B12">
        <v>300</v>
      </c>
      <c r="C12">
        <v>105</v>
      </c>
      <c r="D12">
        <v>4</v>
      </c>
      <c r="E12" s="28">
        <v>2.0000000000000002E-5</v>
      </c>
      <c r="F12" s="28">
        <v>94.333299999999994</v>
      </c>
      <c r="G12" s="28">
        <v>56.333300000000001</v>
      </c>
      <c r="H12" s="28">
        <v>0.5971730025346299</v>
      </c>
      <c r="I12" s="28">
        <v>73.372799999999998</v>
      </c>
      <c r="J12" s="28">
        <v>26.627199999999998</v>
      </c>
      <c r="K12" s="28">
        <v>74.285700000000006</v>
      </c>
      <c r="L12" s="28">
        <v>73</v>
      </c>
      <c r="M12" s="28">
        <v>100</v>
      </c>
      <c r="N12" s="28">
        <v>932.15183000000002</v>
      </c>
      <c r="O12" s="28">
        <v>107.5</v>
      </c>
      <c r="P12" s="28">
        <v>824.4</v>
      </c>
      <c r="Q12" s="28">
        <v>0.25183</v>
      </c>
      <c r="R12" s="28">
        <v>148.644688</v>
      </c>
    </row>
    <row r="13" spans="1:18" x14ac:dyDescent="0.25">
      <c r="A13" t="s">
        <v>18</v>
      </c>
      <c r="B13">
        <v>300</v>
      </c>
      <c r="C13">
        <v>105</v>
      </c>
      <c r="D13">
        <v>4</v>
      </c>
      <c r="E13" s="28">
        <v>2.0000000000000002E-5</v>
      </c>
      <c r="F13" s="28">
        <v>94.333299999999994</v>
      </c>
      <c r="G13" s="28">
        <v>55.666699999999999</v>
      </c>
      <c r="H13" s="28">
        <v>0.59010656894225055</v>
      </c>
      <c r="I13" s="28">
        <v>70.059899999999999</v>
      </c>
      <c r="J13" s="28">
        <v>29.940100000000001</v>
      </c>
      <c r="K13" s="28">
        <v>68.571399999999997</v>
      </c>
      <c r="L13" s="28">
        <v>67</v>
      </c>
      <c r="M13" s="28">
        <v>100</v>
      </c>
      <c r="N13" s="28">
        <v>926.14556000000005</v>
      </c>
      <c r="O13" s="28">
        <v>107.5</v>
      </c>
      <c r="P13" s="28">
        <v>818.4</v>
      </c>
      <c r="Q13" s="28">
        <v>0.24556</v>
      </c>
      <c r="R13" s="28">
        <v>155.596926</v>
      </c>
    </row>
    <row r="14" spans="1:18" x14ac:dyDescent="0.25">
      <c r="A14" t="s">
        <v>18</v>
      </c>
      <c r="B14">
        <v>300</v>
      </c>
      <c r="C14">
        <v>105</v>
      </c>
      <c r="D14">
        <v>4</v>
      </c>
      <c r="E14" s="28">
        <v>2.0000000000000002E-5</v>
      </c>
      <c r="F14" s="28">
        <v>94.333299999999994</v>
      </c>
      <c r="G14" s="28">
        <v>59</v>
      </c>
      <c r="H14" s="28">
        <v>0.62544191711728525</v>
      </c>
      <c r="I14" s="28">
        <v>72.316400000000002</v>
      </c>
      <c r="J14" s="28">
        <v>27.683599999999998</v>
      </c>
      <c r="K14" s="28">
        <v>71.428600000000003</v>
      </c>
      <c r="L14" s="28">
        <v>70</v>
      </c>
      <c r="M14" s="28">
        <v>100</v>
      </c>
      <c r="N14" s="28">
        <v>857.94926999999996</v>
      </c>
      <c r="O14" s="28">
        <v>107.5</v>
      </c>
      <c r="P14" s="28">
        <v>750.2</v>
      </c>
      <c r="Q14" s="28">
        <v>0.24926999999999999</v>
      </c>
      <c r="R14" s="28">
        <v>151.93346299999999</v>
      </c>
    </row>
    <row r="15" spans="1:18" x14ac:dyDescent="0.25">
      <c r="A15" t="s">
        <v>18</v>
      </c>
      <c r="B15">
        <v>300</v>
      </c>
      <c r="C15">
        <v>105</v>
      </c>
      <c r="D15">
        <v>4</v>
      </c>
      <c r="E15" s="28">
        <v>2.0999999999999999E-5</v>
      </c>
      <c r="F15" s="28">
        <v>94.333299999999994</v>
      </c>
      <c r="G15" s="28">
        <v>60.333300000000001</v>
      </c>
      <c r="H15" s="28">
        <v>0.6395758443730899</v>
      </c>
      <c r="I15" s="28">
        <v>67.955799999999996</v>
      </c>
      <c r="J15" s="28">
        <v>32.044199999999996</v>
      </c>
      <c r="K15" s="28">
        <v>68.571399999999997</v>
      </c>
      <c r="L15" s="28">
        <v>67</v>
      </c>
      <c r="M15" s="28">
        <v>100</v>
      </c>
      <c r="N15" s="28">
        <v>848.14671999999996</v>
      </c>
      <c r="O15" s="28">
        <v>107.5</v>
      </c>
      <c r="P15" s="28">
        <v>740.4</v>
      </c>
      <c r="Q15" s="28">
        <v>0.24671999999999999</v>
      </c>
      <c r="R15" s="28">
        <v>157.507147</v>
      </c>
    </row>
    <row r="16" spans="1:18" x14ac:dyDescent="0.25">
      <c r="A16" t="s">
        <v>18</v>
      </c>
      <c r="B16">
        <v>300</v>
      </c>
      <c r="C16">
        <v>105</v>
      </c>
      <c r="D16">
        <v>4</v>
      </c>
      <c r="E16" s="28">
        <v>2.0999999999999999E-5</v>
      </c>
      <c r="F16" s="28">
        <v>94.333299999999994</v>
      </c>
      <c r="G16" s="28">
        <v>57.333300000000001</v>
      </c>
      <c r="H16" s="28">
        <v>0.60777371299424487</v>
      </c>
      <c r="I16" s="28">
        <v>70.930199999999999</v>
      </c>
      <c r="J16" s="28">
        <v>29.069800000000001</v>
      </c>
      <c r="K16" s="28">
        <v>72.381</v>
      </c>
      <c r="L16" s="28">
        <v>71</v>
      </c>
      <c r="M16" s="28">
        <v>100</v>
      </c>
      <c r="N16" s="28">
        <v>893.44988999999998</v>
      </c>
      <c r="O16" s="28">
        <v>107.5</v>
      </c>
      <c r="P16" s="28">
        <v>785.7</v>
      </c>
      <c r="Q16" s="28">
        <v>0.24989</v>
      </c>
      <c r="R16" s="28">
        <v>154.64526599999999</v>
      </c>
    </row>
    <row r="17" spans="1:18" x14ac:dyDescent="0.25">
      <c r="A17" t="s">
        <v>18</v>
      </c>
      <c r="B17">
        <v>300</v>
      </c>
      <c r="C17">
        <v>105</v>
      </c>
      <c r="D17">
        <v>4</v>
      </c>
      <c r="E17" s="28">
        <v>2.0000000000000002E-5</v>
      </c>
      <c r="F17" s="28">
        <v>94.333299999999994</v>
      </c>
      <c r="G17" s="28">
        <v>54.333300000000001</v>
      </c>
      <c r="H17" s="28">
        <v>0.57597158161539996</v>
      </c>
      <c r="I17" s="28">
        <v>76.073599999999999</v>
      </c>
      <c r="J17" s="28">
        <v>23.926400000000001</v>
      </c>
      <c r="K17" s="28">
        <v>68.571399999999997</v>
      </c>
      <c r="L17" s="28">
        <v>67</v>
      </c>
      <c r="M17" s="28">
        <v>100</v>
      </c>
      <c r="N17" s="28">
        <v>984.34673999999995</v>
      </c>
      <c r="O17" s="28">
        <v>107.5</v>
      </c>
      <c r="P17" s="28">
        <v>876.6</v>
      </c>
      <c r="Q17" s="28">
        <v>0.24673999999999999</v>
      </c>
      <c r="R17" s="28">
        <v>143.80935299999999</v>
      </c>
    </row>
    <row r="18" spans="1:18" x14ac:dyDescent="0.25">
      <c r="A18" t="s">
        <v>18</v>
      </c>
      <c r="B18">
        <v>300</v>
      </c>
      <c r="C18">
        <v>105</v>
      </c>
      <c r="D18">
        <v>4</v>
      </c>
      <c r="E18" s="28">
        <v>2.0000000000000002E-5</v>
      </c>
      <c r="F18" s="28">
        <v>94.333299999999994</v>
      </c>
      <c r="G18" s="28">
        <v>55</v>
      </c>
      <c r="H18" s="28">
        <v>0.58303907527882526</v>
      </c>
      <c r="I18" s="28">
        <v>75.757599999999996</v>
      </c>
      <c r="J18" s="28">
        <v>24.2424</v>
      </c>
      <c r="K18" s="28">
        <v>70.476200000000006</v>
      </c>
      <c r="L18" s="28">
        <v>69</v>
      </c>
      <c r="M18" s="28">
        <v>100</v>
      </c>
      <c r="N18" s="28">
        <v>965.34884999999997</v>
      </c>
      <c r="O18" s="28">
        <v>107.5</v>
      </c>
      <c r="P18" s="28">
        <v>857.6</v>
      </c>
      <c r="Q18" s="28">
        <v>0.24884999999999999</v>
      </c>
      <c r="R18" s="28">
        <v>144.69493299999999</v>
      </c>
    </row>
    <row r="19" spans="1:18" x14ac:dyDescent="0.25">
      <c r="A19" t="s">
        <v>18</v>
      </c>
      <c r="B19">
        <v>300</v>
      </c>
      <c r="C19">
        <v>105</v>
      </c>
      <c r="D19">
        <v>4</v>
      </c>
      <c r="E19" s="28">
        <v>2.0000000000000002E-5</v>
      </c>
      <c r="F19" s="28">
        <v>94.333299999999994</v>
      </c>
      <c r="G19" s="28">
        <v>56</v>
      </c>
      <c r="H19" s="28">
        <v>0.59363978573844023</v>
      </c>
      <c r="I19" s="28">
        <v>73.8095</v>
      </c>
      <c r="J19" s="28">
        <v>26.1905</v>
      </c>
      <c r="K19" s="28">
        <v>71.428600000000003</v>
      </c>
      <c r="L19" s="28">
        <v>70</v>
      </c>
      <c r="M19" s="28">
        <v>100</v>
      </c>
      <c r="N19" s="28">
        <v>968.04952000000003</v>
      </c>
      <c r="O19" s="28">
        <v>107.5</v>
      </c>
      <c r="P19" s="28">
        <v>860.3</v>
      </c>
      <c r="Q19" s="28">
        <v>0.24951999999999999</v>
      </c>
      <c r="R19" s="28">
        <v>144.45948200000001</v>
      </c>
    </row>
    <row r="20" spans="1:18" x14ac:dyDescent="0.25">
      <c r="A20" t="s">
        <v>18</v>
      </c>
      <c r="B20">
        <v>300</v>
      </c>
      <c r="C20">
        <v>105</v>
      </c>
      <c r="D20">
        <v>4</v>
      </c>
      <c r="E20" s="28">
        <v>2.0000000000000002E-5</v>
      </c>
      <c r="F20" s="28">
        <v>94.333299999999994</v>
      </c>
      <c r="G20" s="28">
        <v>57.333300000000001</v>
      </c>
      <c r="H20" s="28">
        <v>0.60777371299424487</v>
      </c>
      <c r="I20" s="28">
        <v>72.674400000000006</v>
      </c>
      <c r="J20" s="28">
        <v>27.325600000000001</v>
      </c>
      <c r="K20" s="28">
        <v>65.714299999999994</v>
      </c>
      <c r="L20" s="28">
        <v>64</v>
      </c>
      <c r="M20" s="28">
        <v>100</v>
      </c>
      <c r="N20" s="28">
        <v>925.64364</v>
      </c>
      <c r="O20" s="28">
        <v>107.5</v>
      </c>
      <c r="P20" s="28">
        <v>817.9</v>
      </c>
      <c r="Q20" s="28">
        <v>0.24364</v>
      </c>
      <c r="R20" s="28">
        <v>147.84940599999999</v>
      </c>
    </row>
    <row r="21" spans="1:18" x14ac:dyDescent="0.25">
      <c r="A21" t="s">
        <v>18</v>
      </c>
      <c r="B21">
        <v>300</v>
      </c>
      <c r="C21">
        <v>105</v>
      </c>
      <c r="D21">
        <v>4</v>
      </c>
      <c r="E21" s="28">
        <v>2.0999999999999999E-5</v>
      </c>
      <c r="F21" s="28">
        <v>94.333299999999994</v>
      </c>
      <c r="G21" s="28">
        <v>58</v>
      </c>
      <c r="H21" s="28">
        <v>0.61484120665767028</v>
      </c>
      <c r="I21" s="28">
        <v>69.540199999999999</v>
      </c>
      <c r="J21" s="28">
        <v>30.459800000000001</v>
      </c>
      <c r="K21" s="28">
        <v>69.523799999999994</v>
      </c>
      <c r="L21" s="28">
        <v>68</v>
      </c>
      <c r="M21" s="28">
        <v>100</v>
      </c>
      <c r="N21" s="28">
        <v>916.04794000000004</v>
      </c>
      <c r="O21" s="28">
        <v>107.5</v>
      </c>
      <c r="P21" s="28">
        <v>808.3</v>
      </c>
      <c r="Q21" s="28">
        <v>0.24793999999999999</v>
      </c>
      <c r="R21" s="28">
        <v>150.51890900000001</v>
      </c>
    </row>
    <row r="22" spans="1:18" x14ac:dyDescent="0.25">
      <c r="A22" t="s">
        <v>18</v>
      </c>
      <c r="B22">
        <v>300</v>
      </c>
      <c r="C22">
        <v>105</v>
      </c>
      <c r="D22">
        <v>4</v>
      </c>
      <c r="E22" s="28">
        <v>2.0999999999999999E-5</v>
      </c>
      <c r="F22" s="28">
        <v>94.333299999999994</v>
      </c>
      <c r="G22" s="28">
        <v>56.333300000000001</v>
      </c>
      <c r="H22" s="28">
        <v>0.5971730025346299</v>
      </c>
      <c r="I22" s="28">
        <v>68.639099999999999</v>
      </c>
      <c r="J22" s="28">
        <v>31.360900000000001</v>
      </c>
      <c r="K22" s="28">
        <v>63.8095</v>
      </c>
      <c r="L22" s="28">
        <v>62</v>
      </c>
      <c r="M22" s="28">
        <v>100</v>
      </c>
      <c r="N22" s="28">
        <v>917.74072000000001</v>
      </c>
      <c r="O22" s="28">
        <v>107.5</v>
      </c>
      <c r="P22" s="28">
        <v>810</v>
      </c>
      <c r="Q22" s="28">
        <v>0.24071999999999999</v>
      </c>
      <c r="R22" s="28">
        <v>157.84243900000001</v>
      </c>
    </row>
    <row r="23" spans="1:18" x14ac:dyDescent="0.25">
      <c r="A23" t="s">
        <v>18</v>
      </c>
      <c r="B23">
        <v>300</v>
      </c>
      <c r="C23">
        <v>105</v>
      </c>
      <c r="D23">
        <v>4</v>
      </c>
      <c r="E23" s="28">
        <v>2.0000000000000002E-5</v>
      </c>
      <c r="F23" s="28">
        <v>94.333299999999994</v>
      </c>
      <c r="G23" s="28">
        <v>55</v>
      </c>
      <c r="H23" s="28">
        <v>0.58303907527882526</v>
      </c>
      <c r="I23" s="28">
        <v>72.121200000000002</v>
      </c>
      <c r="J23" s="28">
        <v>27.878799999999998</v>
      </c>
      <c r="K23" s="28">
        <v>67.619</v>
      </c>
      <c r="L23" s="28">
        <v>66</v>
      </c>
      <c r="M23" s="28">
        <v>100</v>
      </c>
      <c r="N23" s="28">
        <v>953.74616000000003</v>
      </c>
      <c r="O23" s="28">
        <v>107.5</v>
      </c>
      <c r="P23" s="28">
        <v>846</v>
      </c>
      <c r="Q23" s="28">
        <v>0.24615999999999999</v>
      </c>
      <c r="R23" s="28">
        <v>150.329474</v>
      </c>
    </row>
    <row r="24" spans="1:18" x14ac:dyDescent="0.25">
      <c r="A24" t="s">
        <v>18</v>
      </c>
      <c r="B24">
        <v>300</v>
      </c>
      <c r="C24">
        <v>105</v>
      </c>
      <c r="D24">
        <v>4</v>
      </c>
      <c r="E24" s="28">
        <v>2.0999999999999999E-5</v>
      </c>
      <c r="F24" s="28">
        <v>94.333299999999994</v>
      </c>
      <c r="G24" s="28">
        <v>56</v>
      </c>
      <c r="H24" s="28">
        <v>0.59363978573844023</v>
      </c>
      <c r="I24" s="28">
        <v>67.857100000000003</v>
      </c>
      <c r="J24" s="28">
        <v>32.142899999999997</v>
      </c>
      <c r="K24" s="28">
        <v>66.666700000000006</v>
      </c>
      <c r="L24" s="28">
        <v>65</v>
      </c>
      <c r="M24" s="28">
        <v>100</v>
      </c>
      <c r="N24" s="28">
        <v>918.04503</v>
      </c>
      <c r="O24" s="28">
        <v>107.5</v>
      </c>
      <c r="P24" s="28">
        <v>810.3</v>
      </c>
      <c r="Q24" s="28">
        <v>0.24503</v>
      </c>
      <c r="R24" s="28">
        <v>157.80239599999999</v>
      </c>
    </row>
    <row r="25" spans="1:18" x14ac:dyDescent="0.25">
      <c r="A25" t="s">
        <v>18</v>
      </c>
      <c r="B25">
        <v>300</v>
      </c>
      <c r="C25">
        <v>105</v>
      </c>
      <c r="D25">
        <v>4</v>
      </c>
      <c r="E25" s="28">
        <v>1.9000000000000001E-5</v>
      </c>
      <c r="F25" s="28">
        <v>94.333299999999994</v>
      </c>
      <c r="G25" s="28">
        <v>53.333300000000001</v>
      </c>
      <c r="H25" s="28">
        <v>0.56537087115578488</v>
      </c>
      <c r="I25" s="28">
        <v>73.125</v>
      </c>
      <c r="J25" s="28">
        <v>26.875</v>
      </c>
      <c r="K25" s="28">
        <v>69.523799999999994</v>
      </c>
      <c r="L25" s="28">
        <v>68</v>
      </c>
      <c r="M25" s="28">
        <v>100</v>
      </c>
      <c r="N25" s="28">
        <v>1002.84676</v>
      </c>
      <c r="O25" s="28">
        <v>107.5</v>
      </c>
      <c r="P25" s="28">
        <v>895.1</v>
      </c>
      <c r="Q25" s="28">
        <v>0.24676000000000001</v>
      </c>
      <c r="R25" s="28">
        <v>148.16680099999999</v>
      </c>
    </row>
    <row r="26" spans="1:18" x14ac:dyDescent="0.25">
      <c r="A26" t="s">
        <v>18</v>
      </c>
      <c r="B26">
        <v>300</v>
      </c>
      <c r="C26">
        <v>105</v>
      </c>
      <c r="D26">
        <v>4</v>
      </c>
      <c r="E26" s="28">
        <v>2.0000000000000002E-5</v>
      </c>
      <c r="F26" s="28">
        <v>94.333299999999994</v>
      </c>
      <c r="G26" s="28">
        <v>56.333300000000001</v>
      </c>
      <c r="H26" s="28">
        <v>0.5971730025346299</v>
      </c>
      <c r="I26" s="28">
        <v>76.923100000000005</v>
      </c>
      <c r="J26" s="28">
        <v>23.076899999999998</v>
      </c>
      <c r="K26" s="28">
        <v>74.285700000000006</v>
      </c>
      <c r="L26" s="28">
        <v>73</v>
      </c>
      <c r="M26" s="28">
        <v>100</v>
      </c>
      <c r="N26" s="28">
        <v>930.35576000000003</v>
      </c>
      <c r="O26" s="28">
        <v>107.5</v>
      </c>
      <c r="P26" s="28">
        <v>822.6</v>
      </c>
      <c r="Q26" s="28">
        <v>0.25575999999999999</v>
      </c>
      <c r="R26" s="28">
        <v>144.53725499999999</v>
      </c>
    </row>
    <row r="27" spans="1:18" x14ac:dyDescent="0.25">
      <c r="A27" t="s">
        <v>18</v>
      </c>
      <c r="B27">
        <v>300</v>
      </c>
      <c r="C27">
        <v>105</v>
      </c>
      <c r="D27">
        <v>4</v>
      </c>
      <c r="E27" s="28">
        <v>2.0999999999999999E-5</v>
      </c>
      <c r="F27" s="28">
        <v>94.333299999999994</v>
      </c>
      <c r="G27" s="28">
        <v>59.666699999999999</v>
      </c>
      <c r="H27" s="28">
        <v>0.63250941078071055</v>
      </c>
      <c r="I27" s="28">
        <v>71.508399999999995</v>
      </c>
      <c r="J27" s="28">
        <v>28.491599999999998</v>
      </c>
      <c r="K27" s="28">
        <v>71.428600000000003</v>
      </c>
      <c r="L27" s="28">
        <v>70</v>
      </c>
      <c r="M27" s="28">
        <v>100</v>
      </c>
      <c r="N27" s="28">
        <v>851.15079000000003</v>
      </c>
      <c r="O27" s="28">
        <v>107.5</v>
      </c>
      <c r="P27" s="28">
        <v>743.4</v>
      </c>
      <c r="Q27" s="28">
        <v>0.25079000000000001</v>
      </c>
      <c r="R27" s="28">
        <v>153.14124100000001</v>
      </c>
    </row>
    <row r="28" spans="1:18" x14ac:dyDescent="0.25">
      <c r="A28" t="s">
        <v>18</v>
      </c>
      <c r="B28">
        <v>300</v>
      </c>
      <c r="C28">
        <v>105</v>
      </c>
      <c r="D28">
        <v>4</v>
      </c>
      <c r="E28" s="28">
        <v>2.0999999999999999E-5</v>
      </c>
      <c r="F28" s="28">
        <v>94.333299999999994</v>
      </c>
      <c r="G28" s="28">
        <v>56.666699999999999</v>
      </c>
      <c r="H28" s="28">
        <v>0.60070727940186552</v>
      </c>
      <c r="I28" s="28">
        <v>73.529399999999995</v>
      </c>
      <c r="J28" s="28">
        <v>26.470600000000001</v>
      </c>
      <c r="K28" s="28">
        <v>72.381</v>
      </c>
      <c r="L28" s="28">
        <v>71</v>
      </c>
      <c r="M28" s="28">
        <v>100</v>
      </c>
      <c r="N28" s="28">
        <v>902.65396999999996</v>
      </c>
      <c r="O28" s="28">
        <v>107.5</v>
      </c>
      <c r="P28" s="28">
        <v>794.9</v>
      </c>
      <c r="Q28" s="28">
        <v>0.25396999999999997</v>
      </c>
      <c r="R28" s="28">
        <v>152.57224199999999</v>
      </c>
    </row>
    <row r="29" spans="1:18" x14ac:dyDescent="0.25">
      <c r="A29" t="s">
        <v>18</v>
      </c>
      <c r="B29">
        <v>300</v>
      </c>
      <c r="C29">
        <v>105</v>
      </c>
      <c r="D29">
        <v>4</v>
      </c>
      <c r="E29" s="28">
        <v>2.0000000000000002E-5</v>
      </c>
      <c r="F29" s="28">
        <v>94.333299999999994</v>
      </c>
      <c r="G29" s="28">
        <v>54.333300000000001</v>
      </c>
      <c r="H29" s="28">
        <v>0.57597158161539996</v>
      </c>
      <c r="I29" s="28">
        <v>76.687100000000001</v>
      </c>
      <c r="J29" s="28">
        <v>23.312899999999999</v>
      </c>
      <c r="K29" s="28">
        <v>75.238100000000003</v>
      </c>
      <c r="L29" s="28">
        <v>74</v>
      </c>
      <c r="M29" s="28">
        <v>100</v>
      </c>
      <c r="N29" s="28">
        <v>978.35420999999997</v>
      </c>
      <c r="O29" s="28">
        <v>107.5</v>
      </c>
      <c r="P29" s="28">
        <v>870.6</v>
      </c>
      <c r="Q29" s="28">
        <v>0.25420999999999999</v>
      </c>
      <c r="R29" s="28">
        <v>143.50454400000001</v>
      </c>
    </row>
    <row r="30" spans="1:18" x14ac:dyDescent="0.25">
      <c r="A30" t="s">
        <v>18</v>
      </c>
      <c r="B30">
        <v>300</v>
      </c>
      <c r="C30">
        <v>105</v>
      </c>
      <c r="D30">
        <v>4</v>
      </c>
      <c r="E30" s="28">
        <v>2.0999999999999999E-5</v>
      </c>
      <c r="F30" s="28">
        <v>94.333299999999994</v>
      </c>
      <c r="G30" s="28">
        <v>59.666699999999999</v>
      </c>
      <c r="H30" s="28">
        <v>0.63250941078071055</v>
      </c>
      <c r="I30" s="28">
        <v>68.715100000000007</v>
      </c>
      <c r="J30" s="28">
        <v>31.2849</v>
      </c>
      <c r="K30" s="28">
        <v>73.333299999999994</v>
      </c>
      <c r="L30" s="28">
        <v>72</v>
      </c>
      <c r="M30" s="28">
        <v>100</v>
      </c>
      <c r="N30" s="28">
        <v>859.95163000000002</v>
      </c>
      <c r="O30" s="28">
        <v>107.5</v>
      </c>
      <c r="P30" s="28">
        <v>752.2</v>
      </c>
      <c r="Q30" s="28">
        <v>0.25163000000000002</v>
      </c>
      <c r="R30" s="28">
        <v>153.652185</v>
      </c>
    </row>
    <row r="31" spans="1:18" x14ac:dyDescent="0.25">
      <c r="A31" t="s">
        <v>18</v>
      </c>
      <c r="B31">
        <v>300</v>
      </c>
      <c r="C31">
        <v>105</v>
      </c>
      <c r="D31">
        <v>4</v>
      </c>
      <c r="E31" s="28">
        <v>2.0000000000000002E-5</v>
      </c>
      <c r="F31" s="28">
        <v>94.333299999999994</v>
      </c>
      <c r="G31" s="28">
        <v>56.333300000000001</v>
      </c>
      <c r="H31" s="28">
        <v>0.5971730025346299</v>
      </c>
      <c r="I31" s="28">
        <v>72.781099999999995</v>
      </c>
      <c r="J31" s="28">
        <v>27.218900000000001</v>
      </c>
      <c r="K31" s="28">
        <v>72.381</v>
      </c>
      <c r="L31" s="28">
        <v>71</v>
      </c>
      <c r="M31" s="28">
        <v>100</v>
      </c>
      <c r="N31" s="28">
        <v>940.55055000000004</v>
      </c>
      <c r="O31" s="28">
        <v>107.5</v>
      </c>
      <c r="P31" s="28">
        <v>832.8</v>
      </c>
      <c r="Q31" s="28">
        <v>0.25054999999999999</v>
      </c>
      <c r="R31" s="28">
        <v>148.02218300000001</v>
      </c>
    </row>
    <row r="32" spans="1:18" x14ac:dyDescent="0.25">
      <c r="A32" t="s">
        <v>18</v>
      </c>
      <c r="B32">
        <v>300</v>
      </c>
      <c r="C32">
        <v>105</v>
      </c>
      <c r="D32">
        <v>4</v>
      </c>
      <c r="E32" s="28">
        <v>2.0000000000000002E-5</v>
      </c>
      <c r="F32" s="28">
        <v>94.333299999999994</v>
      </c>
      <c r="G32" s="28">
        <v>57</v>
      </c>
      <c r="H32" s="28">
        <v>0.6042404961980552</v>
      </c>
      <c r="I32" s="28">
        <v>69.590599999999995</v>
      </c>
      <c r="J32" s="28">
        <v>30.409400000000002</v>
      </c>
      <c r="K32" s="28">
        <v>71.428600000000003</v>
      </c>
      <c r="L32" s="28">
        <v>70</v>
      </c>
      <c r="M32" s="28">
        <v>100</v>
      </c>
      <c r="N32" s="28">
        <v>914.34946000000002</v>
      </c>
      <c r="O32" s="28">
        <v>107.5</v>
      </c>
      <c r="P32" s="28">
        <v>806.6</v>
      </c>
      <c r="Q32" s="28">
        <v>0.24945999999999999</v>
      </c>
      <c r="R32" s="28">
        <v>152.074702</v>
      </c>
    </row>
    <row r="33" spans="1:18" x14ac:dyDescent="0.25">
      <c r="A33" t="s">
        <v>18</v>
      </c>
      <c r="B33">
        <v>300</v>
      </c>
      <c r="C33">
        <v>105</v>
      </c>
      <c r="D33">
        <v>4</v>
      </c>
      <c r="E33" s="28">
        <v>1.9000000000000001E-5</v>
      </c>
      <c r="F33" s="28">
        <v>94.333299999999994</v>
      </c>
      <c r="G33" s="28">
        <v>53</v>
      </c>
      <c r="H33" s="28">
        <v>0.56183765435959521</v>
      </c>
      <c r="I33" s="28">
        <v>72.956000000000003</v>
      </c>
      <c r="J33" s="28">
        <v>27.044</v>
      </c>
      <c r="K33" s="28">
        <v>72.381</v>
      </c>
      <c r="L33" s="28">
        <v>71</v>
      </c>
      <c r="M33" s="28">
        <v>100</v>
      </c>
      <c r="N33" s="28">
        <v>987.15052000000003</v>
      </c>
      <c r="O33" s="28">
        <v>107.5</v>
      </c>
      <c r="P33" s="28">
        <v>879.4</v>
      </c>
      <c r="Q33" s="28">
        <v>0.25052000000000002</v>
      </c>
      <c r="R33" s="28">
        <v>151.83293499999999</v>
      </c>
    </row>
    <row r="34" spans="1:18" x14ac:dyDescent="0.25">
      <c r="A34" t="s">
        <v>18</v>
      </c>
      <c r="B34">
        <v>300</v>
      </c>
      <c r="C34">
        <v>105</v>
      </c>
      <c r="D34">
        <v>4</v>
      </c>
      <c r="E34" s="28">
        <v>1.8E-5</v>
      </c>
      <c r="F34" s="28">
        <v>94.333299999999994</v>
      </c>
      <c r="G34" s="28">
        <v>50.666699999999999</v>
      </c>
      <c r="H34" s="28">
        <v>0.53710301664417548</v>
      </c>
      <c r="I34" s="28">
        <v>72.368399999999994</v>
      </c>
      <c r="J34" s="28">
        <v>27.631599999999999</v>
      </c>
      <c r="K34" s="28">
        <v>71.428600000000003</v>
      </c>
      <c r="L34" s="28">
        <v>70</v>
      </c>
      <c r="M34" s="28">
        <v>100</v>
      </c>
      <c r="N34" s="28">
        <v>1041.24854</v>
      </c>
      <c r="O34" s="28">
        <v>107.5</v>
      </c>
      <c r="P34" s="28">
        <v>933.5</v>
      </c>
      <c r="Q34" s="28">
        <v>0.24854000000000001</v>
      </c>
      <c r="R34" s="28">
        <v>149.1157</v>
      </c>
    </row>
    <row r="35" spans="1:18" x14ac:dyDescent="0.25">
      <c r="A35" t="s">
        <v>18</v>
      </c>
      <c r="B35">
        <v>300</v>
      </c>
      <c r="C35">
        <v>105</v>
      </c>
      <c r="D35">
        <v>4</v>
      </c>
      <c r="E35" s="28">
        <v>2.0000000000000002E-5</v>
      </c>
      <c r="F35" s="28">
        <v>94.333299999999994</v>
      </c>
      <c r="G35" s="28">
        <v>56</v>
      </c>
      <c r="H35" s="28">
        <v>0.59363978573844023</v>
      </c>
      <c r="I35" s="28">
        <v>69.642899999999997</v>
      </c>
      <c r="J35" s="28">
        <v>30.357099999999999</v>
      </c>
      <c r="K35" s="28">
        <v>70.476200000000006</v>
      </c>
      <c r="L35" s="28">
        <v>69</v>
      </c>
      <c r="M35" s="28">
        <v>100</v>
      </c>
      <c r="N35" s="28">
        <v>918.84901000000002</v>
      </c>
      <c r="O35" s="28">
        <v>107.5</v>
      </c>
      <c r="P35" s="28">
        <v>811.1</v>
      </c>
      <c r="Q35" s="28">
        <v>0.24901000000000001</v>
      </c>
      <c r="R35" s="28">
        <v>155.313503</v>
      </c>
    </row>
    <row r="36" spans="1:18" x14ac:dyDescent="0.25">
      <c r="A36" t="s">
        <v>18</v>
      </c>
      <c r="B36">
        <v>300</v>
      </c>
      <c r="C36">
        <v>105</v>
      </c>
      <c r="D36">
        <v>4</v>
      </c>
      <c r="E36" s="28">
        <v>1.9000000000000001E-5</v>
      </c>
      <c r="F36" s="28">
        <v>94.333299999999994</v>
      </c>
      <c r="G36" s="28">
        <v>53.333300000000001</v>
      </c>
      <c r="H36" s="28">
        <v>0.56537087115578488</v>
      </c>
      <c r="I36" s="28">
        <v>77.5</v>
      </c>
      <c r="J36" s="28">
        <v>22.5</v>
      </c>
      <c r="K36" s="28">
        <v>69.523799999999994</v>
      </c>
      <c r="L36" s="28">
        <v>68</v>
      </c>
      <c r="M36" s="28">
        <v>100</v>
      </c>
      <c r="N36" s="28">
        <v>987.24734000000001</v>
      </c>
      <c r="O36" s="28">
        <v>107.5</v>
      </c>
      <c r="P36" s="28">
        <v>879.5</v>
      </c>
      <c r="Q36" s="28">
        <v>0.24734</v>
      </c>
      <c r="R36" s="28">
        <v>143.36703600000001</v>
      </c>
    </row>
    <row r="37" spans="1:18" x14ac:dyDescent="0.25">
      <c r="A37" t="s">
        <v>18</v>
      </c>
      <c r="B37">
        <v>300</v>
      </c>
      <c r="C37">
        <v>105</v>
      </c>
      <c r="D37">
        <v>4</v>
      </c>
      <c r="E37" s="28">
        <v>2.0000000000000002E-5</v>
      </c>
      <c r="F37" s="28">
        <v>94.333299999999994</v>
      </c>
      <c r="G37" s="28">
        <v>57.333300000000001</v>
      </c>
      <c r="H37" s="28">
        <v>0.60777371299424487</v>
      </c>
      <c r="I37" s="28">
        <v>72.093000000000004</v>
      </c>
      <c r="J37" s="28">
        <v>27.907</v>
      </c>
      <c r="K37" s="28">
        <v>72.381</v>
      </c>
      <c r="L37" s="28">
        <v>71</v>
      </c>
      <c r="M37" s="28">
        <v>100</v>
      </c>
      <c r="N37" s="28">
        <v>900.25122999999996</v>
      </c>
      <c r="O37" s="28">
        <v>107.5</v>
      </c>
      <c r="P37" s="28">
        <v>792.5</v>
      </c>
      <c r="Q37" s="28">
        <v>0.25123000000000001</v>
      </c>
      <c r="R37" s="28">
        <v>152.485433</v>
      </c>
    </row>
    <row r="38" spans="1:18" x14ac:dyDescent="0.25">
      <c r="A38" t="s">
        <v>18</v>
      </c>
      <c r="B38">
        <v>300</v>
      </c>
      <c r="C38">
        <v>105</v>
      </c>
      <c r="D38">
        <v>4</v>
      </c>
      <c r="E38" s="28">
        <v>1.9000000000000001E-5</v>
      </c>
      <c r="F38" s="28">
        <v>94.333299999999994</v>
      </c>
      <c r="G38" s="28">
        <v>54.666699999999999</v>
      </c>
      <c r="H38" s="28">
        <v>0.57950585848263558</v>
      </c>
      <c r="I38" s="28">
        <v>70.731700000000004</v>
      </c>
      <c r="J38" s="28">
        <v>29.2683</v>
      </c>
      <c r="K38" s="28">
        <v>71.428600000000003</v>
      </c>
      <c r="L38" s="28">
        <v>70</v>
      </c>
      <c r="M38" s="28">
        <v>100</v>
      </c>
      <c r="N38" s="28">
        <v>953.64928999999995</v>
      </c>
      <c r="O38" s="28">
        <v>107.5</v>
      </c>
      <c r="P38" s="28">
        <v>845.9</v>
      </c>
      <c r="Q38" s="28">
        <v>0.24929000000000001</v>
      </c>
      <c r="R38" s="28">
        <v>152.630448</v>
      </c>
    </row>
    <row r="39" spans="1:18" x14ac:dyDescent="0.25">
      <c r="A39" t="s">
        <v>18</v>
      </c>
      <c r="B39">
        <v>300</v>
      </c>
      <c r="C39">
        <v>105</v>
      </c>
      <c r="D39">
        <v>4</v>
      </c>
      <c r="E39" s="28">
        <v>1.9000000000000001E-5</v>
      </c>
      <c r="F39" s="28">
        <v>94.333299999999994</v>
      </c>
      <c r="G39" s="28">
        <v>53.666699999999999</v>
      </c>
      <c r="H39" s="28">
        <v>0.5689051480230205</v>
      </c>
      <c r="I39" s="28">
        <v>77.018600000000006</v>
      </c>
      <c r="J39" s="28">
        <v>22.981400000000001</v>
      </c>
      <c r="K39" s="28">
        <v>69.523799999999994</v>
      </c>
      <c r="L39" s="28">
        <v>68</v>
      </c>
      <c r="M39" s="28">
        <v>100</v>
      </c>
      <c r="N39" s="28">
        <v>990.34659999999997</v>
      </c>
      <c r="O39" s="28">
        <v>107.5</v>
      </c>
      <c r="P39" s="28">
        <v>882.6</v>
      </c>
      <c r="Q39" s="28">
        <v>0.24660000000000001</v>
      </c>
      <c r="R39" s="28">
        <v>144.45976899999999</v>
      </c>
    </row>
    <row r="40" spans="1:18" x14ac:dyDescent="0.25">
      <c r="A40" t="s">
        <v>18</v>
      </c>
      <c r="B40">
        <v>300</v>
      </c>
      <c r="C40">
        <v>105</v>
      </c>
      <c r="D40">
        <v>4</v>
      </c>
      <c r="E40" s="28">
        <v>2.0000000000000002E-5</v>
      </c>
      <c r="F40" s="28">
        <v>94.333299999999994</v>
      </c>
      <c r="G40" s="28">
        <v>57.333300000000001</v>
      </c>
      <c r="H40" s="28">
        <v>0.60777371299424487</v>
      </c>
      <c r="I40" s="28">
        <v>73.837199999999996</v>
      </c>
      <c r="J40" s="28">
        <v>26.162800000000001</v>
      </c>
      <c r="K40" s="28">
        <v>70.476200000000006</v>
      </c>
      <c r="L40" s="28">
        <v>69</v>
      </c>
      <c r="M40" s="28">
        <v>100</v>
      </c>
      <c r="N40" s="28">
        <v>906.24884999999995</v>
      </c>
      <c r="O40" s="28">
        <v>107.5</v>
      </c>
      <c r="P40" s="28">
        <v>798.5</v>
      </c>
      <c r="Q40" s="28">
        <v>0.24884999999999999</v>
      </c>
      <c r="R40" s="28">
        <v>148.112516</v>
      </c>
    </row>
    <row r="41" spans="1:18" x14ac:dyDescent="0.25">
      <c r="A41" t="s">
        <v>18</v>
      </c>
      <c r="B41">
        <v>300</v>
      </c>
      <c r="C41">
        <v>105</v>
      </c>
      <c r="D41">
        <v>4</v>
      </c>
      <c r="E41" s="28">
        <v>1.9000000000000001E-5</v>
      </c>
      <c r="F41" s="28">
        <v>94.333299999999994</v>
      </c>
      <c r="G41" s="28">
        <v>57.333300000000001</v>
      </c>
      <c r="H41" s="28">
        <v>0.60777371299424487</v>
      </c>
      <c r="I41" s="28">
        <v>75</v>
      </c>
      <c r="J41" s="28">
        <v>25</v>
      </c>
      <c r="K41" s="28">
        <v>69.523799999999994</v>
      </c>
      <c r="L41" s="28">
        <v>68</v>
      </c>
      <c r="M41" s="28">
        <v>100</v>
      </c>
      <c r="N41" s="28">
        <v>914.24807999999996</v>
      </c>
      <c r="O41" s="28">
        <v>107.5</v>
      </c>
      <c r="P41" s="28">
        <v>806.5</v>
      </c>
      <c r="Q41" s="28">
        <v>0.24807999999999999</v>
      </c>
      <c r="R41" s="28">
        <v>146.33586299999999</v>
      </c>
    </row>
    <row r="42" spans="1:18" x14ac:dyDescent="0.25">
      <c r="A42" t="s">
        <v>18</v>
      </c>
      <c r="B42">
        <v>300</v>
      </c>
      <c r="C42">
        <v>105</v>
      </c>
      <c r="D42">
        <v>4</v>
      </c>
      <c r="E42" s="28">
        <v>1.9000000000000001E-5</v>
      </c>
      <c r="F42" s="28">
        <v>94.333299999999994</v>
      </c>
      <c r="G42" s="28">
        <v>53.333300000000001</v>
      </c>
      <c r="H42" s="28">
        <v>0.56537087115578488</v>
      </c>
      <c r="I42" s="28">
        <v>76.25</v>
      </c>
      <c r="J42" s="28">
        <v>23.75</v>
      </c>
      <c r="K42" s="28">
        <v>70.476200000000006</v>
      </c>
      <c r="L42" s="28">
        <v>69</v>
      </c>
      <c r="M42" s="28">
        <v>100</v>
      </c>
      <c r="N42" s="28">
        <v>986.04926</v>
      </c>
      <c r="O42" s="28">
        <v>107.5</v>
      </c>
      <c r="P42" s="28">
        <v>878.3</v>
      </c>
      <c r="Q42" s="28">
        <v>0.24926000000000001</v>
      </c>
      <c r="R42" s="28">
        <v>146.10457500000001</v>
      </c>
    </row>
    <row r="43" spans="1:18" x14ac:dyDescent="0.25">
      <c r="A43" t="s">
        <v>18</v>
      </c>
      <c r="B43">
        <v>300</v>
      </c>
      <c r="C43">
        <v>105</v>
      </c>
      <c r="D43">
        <v>4</v>
      </c>
      <c r="E43" s="28">
        <v>1.9000000000000001E-5</v>
      </c>
      <c r="F43" s="28">
        <v>94.333299999999994</v>
      </c>
      <c r="G43" s="28">
        <v>55</v>
      </c>
      <c r="H43" s="28">
        <v>0.58303907527882526</v>
      </c>
      <c r="I43" s="28">
        <v>67.878799999999998</v>
      </c>
      <c r="J43" s="28">
        <v>32.121200000000002</v>
      </c>
      <c r="K43" s="28">
        <v>66.666700000000006</v>
      </c>
      <c r="L43" s="28">
        <v>65</v>
      </c>
      <c r="M43" s="28">
        <v>100</v>
      </c>
      <c r="N43" s="28">
        <v>942.34321999999997</v>
      </c>
      <c r="O43" s="28">
        <v>107.5</v>
      </c>
      <c r="P43" s="28">
        <v>834.6</v>
      </c>
      <c r="Q43" s="28">
        <v>0.24321999999999999</v>
      </c>
      <c r="R43" s="28">
        <v>155.91324499999999</v>
      </c>
    </row>
    <row r="44" spans="1:18" x14ac:dyDescent="0.25">
      <c r="A44" t="s">
        <v>18</v>
      </c>
      <c r="B44">
        <v>300</v>
      </c>
      <c r="C44">
        <v>105</v>
      </c>
      <c r="D44">
        <v>4</v>
      </c>
      <c r="E44" s="28">
        <v>3.3000000000000003E-5</v>
      </c>
      <c r="F44" s="28">
        <v>94.333299999999994</v>
      </c>
      <c r="G44" s="28">
        <v>59</v>
      </c>
      <c r="H44" s="28">
        <v>0.62544191711728525</v>
      </c>
      <c r="I44" s="28">
        <v>73.446299999999994</v>
      </c>
      <c r="J44" s="28">
        <v>26.553699999999999</v>
      </c>
      <c r="K44" s="28">
        <v>74.285700000000006</v>
      </c>
      <c r="L44" s="28">
        <v>73</v>
      </c>
      <c r="M44" s="28">
        <v>100</v>
      </c>
      <c r="N44" s="28">
        <v>871.55430999999999</v>
      </c>
      <c r="O44" s="28">
        <v>107.5</v>
      </c>
      <c r="P44" s="28">
        <v>763.8</v>
      </c>
      <c r="Q44" s="28">
        <v>0.25430999999999998</v>
      </c>
      <c r="R44" s="28">
        <v>149.71725000000001</v>
      </c>
    </row>
    <row r="45" spans="1:18" x14ac:dyDescent="0.25">
      <c r="A45" t="s">
        <v>18</v>
      </c>
      <c r="B45">
        <v>300</v>
      </c>
      <c r="C45">
        <v>105</v>
      </c>
      <c r="D45">
        <v>4</v>
      </c>
      <c r="E45" s="28">
        <v>1.9000000000000001E-5</v>
      </c>
      <c r="F45" s="28">
        <v>94.333299999999994</v>
      </c>
      <c r="G45" s="28">
        <v>53.333300000000001</v>
      </c>
      <c r="H45" s="28">
        <v>0.56537087115578488</v>
      </c>
      <c r="I45" s="28">
        <v>73.75</v>
      </c>
      <c r="J45" s="28">
        <v>26.25</v>
      </c>
      <c r="K45" s="28">
        <v>68.571399999999997</v>
      </c>
      <c r="L45" s="28">
        <v>67</v>
      </c>
      <c r="M45" s="28">
        <v>100</v>
      </c>
      <c r="N45" s="28">
        <v>987.84704999999997</v>
      </c>
      <c r="O45" s="28">
        <v>107.5</v>
      </c>
      <c r="P45" s="28">
        <v>880.1</v>
      </c>
      <c r="Q45" s="28">
        <v>0.24704999999999999</v>
      </c>
      <c r="R45" s="28">
        <v>148.194883</v>
      </c>
    </row>
    <row r="46" spans="1:18" x14ac:dyDescent="0.25">
      <c r="A46" t="s">
        <v>18</v>
      </c>
      <c r="B46">
        <v>300</v>
      </c>
      <c r="C46">
        <v>105</v>
      </c>
      <c r="D46">
        <v>4</v>
      </c>
      <c r="E46" s="28">
        <v>2.0999999999999999E-5</v>
      </c>
      <c r="F46" s="28">
        <v>94.333299999999994</v>
      </c>
      <c r="G46" s="28">
        <v>56</v>
      </c>
      <c r="H46" s="28">
        <v>0.59363978573844023</v>
      </c>
      <c r="I46" s="28">
        <v>70.238100000000003</v>
      </c>
      <c r="J46" s="28">
        <v>29.761900000000001</v>
      </c>
      <c r="K46" s="28">
        <v>68.571399999999997</v>
      </c>
      <c r="L46" s="28">
        <v>67</v>
      </c>
      <c r="M46" s="28">
        <v>100</v>
      </c>
      <c r="N46" s="28">
        <v>962.64622999999995</v>
      </c>
      <c r="O46" s="28">
        <v>107.5</v>
      </c>
      <c r="P46" s="28">
        <v>854.9</v>
      </c>
      <c r="Q46" s="28">
        <v>0.24623</v>
      </c>
      <c r="R46" s="28">
        <v>151.53009399999999</v>
      </c>
    </row>
    <row r="47" spans="1:18" x14ac:dyDescent="0.25">
      <c r="A47" t="s">
        <v>18</v>
      </c>
      <c r="B47">
        <v>300</v>
      </c>
      <c r="C47">
        <v>105</v>
      </c>
      <c r="D47">
        <v>4</v>
      </c>
      <c r="E47" s="28">
        <v>2.0000000000000002E-5</v>
      </c>
      <c r="F47" s="28">
        <v>94.333299999999994</v>
      </c>
      <c r="G47" s="28">
        <v>54.666699999999999</v>
      </c>
      <c r="H47" s="28">
        <v>0.57950585848263558</v>
      </c>
      <c r="I47" s="28">
        <v>73.780500000000004</v>
      </c>
      <c r="J47" s="28">
        <v>26.2195</v>
      </c>
      <c r="K47" s="28">
        <v>66.666700000000006</v>
      </c>
      <c r="L47" s="28">
        <v>65</v>
      </c>
      <c r="M47" s="28">
        <v>100</v>
      </c>
      <c r="N47" s="28">
        <v>973.44475999999997</v>
      </c>
      <c r="O47" s="28">
        <v>107.5</v>
      </c>
      <c r="P47" s="28">
        <v>865.7</v>
      </c>
      <c r="Q47" s="28">
        <v>0.24476000000000001</v>
      </c>
      <c r="R47" s="28">
        <v>145.620036</v>
      </c>
    </row>
    <row r="48" spans="1:18" x14ac:dyDescent="0.25">
      <c r="A48" t="s">
        <v>18</v>
      </c>
      <c r="B48">
        <v>300</v>
      </c>
      <c r="C48">
        <v>105</v>
      </c>
      <c r="D48">
        <v>4</v>
      </c>
      <c r="E48" s="28">
        <v>2.0000000000000002E-5</v>
      </c>
      <c r="F48" s="28">
        <v>94.333299999999994</v>
      </c>
      <c r="G48" s="28">
        <v>57.666699999999999</v>
      </c>
      <c r="H48" s="28">
        <v>0.61130798986148049</v>
      </c>
      <c r="I48" s="28">
        <v>71.676299999999998</v>
      </c>
      <c r="J48" s="28">
        <v>28.323699999999999</v>
      </c>
      <c r="K48" s="28">
        <v>70.476200000000006</v>
      </c>
      <c r="L48" s="28">
        <v>69</v>
      </c>
      <c r="M48" s="28">
        <v>100</v>
      </c>
      <c r="N48" s="28">
        <v>884.75001999999995</v>
      </c>
      <c r="O48" s="28">
        <v>107.5</v>
      </c>
      <c r="P48" s="28">
        <v>777</v>
      </c>
      <c r="Q48" s="28">
        <v>0.25002000000000002</v>
      </c>
      <c r="R48" s="28">
        <v>152.14655500000001</v>
      </c>
    </row>
    <row r="49" spans="1:18" x14ac:dyDescent="0.25">
      <c r="A49" t="s">
        <v>18</v>
      </c>
      <c r="B49">
        <v>300</v>
      </c>
      <c r="C49">
        <v>105</v>
      </c>
      <c r="D49">
        <v>4</v>
      </c>
      <c r="E49" s="28">
        <v>2.0000000000000002E-5</v>
      </c>
      <c r="F49" s="28">
        <v>94.333299999999994</v>
      </c>
      <c r="G49" s="28">
        <v>55</v>
      </c>
      <c r="H49" s="28">
        <v>0.58303907527882526</v>
      </c>
      <c r="I49" s="28">
        <v>70.302999999999997</v>
      </c>
      <c r="J49" s="28">
        <v>29.696999999999999</v>
      </c>
      <c r="K49" s="28">
        <v>69.523799999999994</v>
      </c>
      <c r="L49" s="28">
        <v>68</v>
      </c>
      <c r="M49" s="28">
        <v>100</v>
      </c>
      <c r="N49" s="28">
        <v>945.74744999999996</v>
      </c>
      <c r="O49" s="28">
        <v>107.5</v>
      </c>
      <c r="P49" s="28">
        <v>838</v>
      </c>
      <c r="Q49" s="28">
        <v>0.24745</v>
      </c>
      <c r="R49" s="28">
        <v>152.68676500000001</v>
      </c>
    </row>
    <row r="50" spans="1:18" x14ac:dyDescent="0.25">
      <c r="A50" t="s">
        <v>18</v>
      </c>
      <c r="B50">
        <v>300</v>
      </c>
      <c r="C50">
        <v>105</v>
      </c>
      <c r="D50">
        <v>4</v>
      </c>
      <c r="E50" s="28">
        <v>2.0000000000000002E-5</v>
      </c>
      <c r="F50" s="28">
        <v>94.333299999999994</v>
      </c>
      <c r="G50" s="28">
        <v>57.333300000000001</v>
      </c>
      <c r="H50" s="28">
        <v>0.60777371299424487</v>
      </c>
      <c r="I50" s="28">
        <v>70.930199999999999</v>
      </c>
      <c r="J50" s="28">
        <v>29.069800000000001</v>
      </c>
      <c r="K50" s="28">
        <v>73.333299999999994</v>
      </c>
      <c r="L50" s="28">
        <v>72</v>
      </c>
      <c r="M50" s="28">
        <v>100</v>
      </c>
      <c r="N50" s="28">
        <v>893.45198000000005</v>
      </c>
      <c r="O50" s="28">
        <v>107.5</v>
      </c>
      <c r="P50" s="28">
        <v>785.7</v>
      </c>
      <c r="Q50" s="28">
        <v>0.25197999999999998</v>
      </c>
      <c r="R50" s="28">
        <v>152.88789199999999</v>
      </c>
    </row>
    <row r="51" spans="1:18" x14ac:dyDescent="0.25">
      <c r="A51" t="s">
        <v>18</v>
      </c>
      <c r="B51">
        <v>300</v>
      </c>
      <c r="C51">
        <v>105</v>
      </c>
      <c r="D51">
        <v>4</v>
      </c>
      <c r="E51" s="28">
        <v>2.0000000000000002E-5</v>
      </c>
      <c r="F51" s="28">
        <v>94.333299999999994</v>
      </c>
      <c r="G51" s="28">
        <v>56.666699999999999</v>
      </c>
      <c r="H51" s="28">
        <v>0.60070727940186552</v>
      </c>
      <c r="I51" s="28">
        <v>68.235299999999995</v>
      </c>
      <c r="J51" s="28">
        <v>31.764700000000001</v>
      </c>
      <c r="K51" s="28">
        <v>65.714299999999994</v>
      </c>
      <c r="L51" s="28">
        <v>64</v>
      </c>
      <c r="M51" s="28">
        <v>100</v>
      </c>
      <c r="N51" s="28">
        <v>923.44164999999998</v>
      </c>
      <c r="O51" s="28">
        <v>107.5</v>
      </c>
      <c r="P51" s="28">
        <v>815.7</v>
      </c>
      <c r="Q51" s="28">
        <v>0.24165</v>
      </c>
      <c r="R51" s="28">
        <v>156.60771199999999</v>
      </c>
    </row>
    <row r="52" spans="1:18" x14ac:dyDescent="0.25">
      <c r="A52" t="s">
        <v>18</v>
      </c>
      <c r="B52">
        <v>300</v>
      </c>
      <c r="C52">
        <v>105</v>
      </c>
      <c r="D52">
        <v>4</v>
      </c>
      <c r="E52" s="28">
        <v>2.0000000000000002E-5</v>
      </c>
      <c r="F52" s="28">
        <v>94.333299999999994</v>
      </c>
      <c r="G52" s="28">
        <v>57</v>
      </c>
      <c r="H52" s="28">
        <v>0.6042404961980552</v>
      </c>
      <c r="I52" s="28">
        <v>73.684200000000004</v>
      </c>
      <c r="J52" s="28">
        <v>26.315799999999999</v>
      </c>
      <c r="K52" s="28">
        <v>76.1905</v>
      </c>
      <c r="L52" s="28">
        <v>75</v>
      </c>
      <c r="M52" s="28">
        <v>100</v>
      </c>
      <c r="N52" s="28">
        <v>909.35645999999997</v>
      </c>
      <c r="O52" s="28">
        <v>107.5</v>
      </c>
      <c r="P52" s="28">
        <v>801.6</v>
      </c>
      <c r="Q52" s="28">
        <v>0.25646000000000002</v>
      </c>
      <c r="R52" s="28">
        <v>147.649238</v>
      </c>
    </row>
    <row r="53" spans="1:18" x14ac:dyDescent="0.25">
      <c r="A53" t="s">
        <v>18</v>
      </c>
      <c r="B53">
        <v>300</v>
      </c>
      <c r="C53">
        <v>105</v>
      </c>
      <c r="D53">
        <v>4</v>
      </c>
      <c r="E53" s="28">
        <v>1.9000000000000001E-5</v>
      </c>
      <c r="F53" s="28">
        <v>94.333299999999994</v>
      </c>
      <c r="G53" s="28">
        <v>54.666699999999999</v>
      </c>
      <c r="H53" s="28">
        <v>0.57950585848263558</v>
      </c>
      <c r="I53" s="28">
        <v>72.561000000000007</v>
      </c>
      <c r="J53" s="28">
        <v>27.439</v>
      </c>
      <c r="K53" s="28">
        <v>69.523799999999994</v>
      </c>
      <c r="L53" s="28">
        <v>68</v>
      </c>
      <c r="M53" s="28">
        <v>100</v>
      </c>
      <c r="N53" s="28">
        <v>933.04722000000004</v>
      </c>
      <c r="O53" s="28">
        <v>107.5</v>
      </c>
      <c r="P53" s="28">
        <v>825.3</v>
      </c>
      <c r="Q53" s="28">
        <v>0.24722</v>
      </c>
      <c r="R53" s="28">
        <v>152.194208</v>
      </c>
    </row>
    <row r="54" spans="1:18" x14ac:dyDescent="0.25">
      <c r="A54" t="s">
        <v>18</v>
      </c>
      <c r="B54">
        <v>300</v>
      </c>
      <c r="C54">
        <v>105</v>
      </c>
      <c r="D54">
        <v>4</v>
      </c>
      <c r="E54" s="28">
        <v>2.0999999999999999E-5</v>
      </c>
      <c r="F54" s="28">
        <v>94.333299999999994</v>
      </c>
      <c r="G54" s="28">
        <v>57.333300000000001</v>
      </c>
      <c r="H54" s="28">
        <v>0.60777371299424487</v>
      </c>
      <c r="I54" s="28">
        <v>68.023300000000006</v>
      </c>
      <c r="J54" s="28">
        <v>31.976700000000001</v>
      </c>
      <c r="K54" s="28">
        <v>65.714299999999994</v>
      </c>
      <c r="L54" s="28">
        <v>64</v>
      </c>
      <c r="M54" s="28">
        <v>100</v>
      </c>
      <c r="N54" s="28">
        <v>913.64367000000004</v>
      </c>
      <c r="O54" s="28">
        <v>107.5</v>
      </c>
      <c r="P54" s="28">
        <v>805.9</v>
      </c>
      <c r="Q54" s="28">
        <v>0.24367</v>
      </c>
      <c r="R54" s="28">
        <v>154.99471399999999</v>
      </c>
    </row>
    <row r="55" spans="1:18" x14ac:dyDescent="0.25">
      <c r="A55" t="s">
        <v>18</v>
      </c>
      <c r="B55">
        <v>300</v>
      </c>
      <c r="C55">
        <v>105</v>
      </c>
      <c r="D55">
        <v>4</v>
      </c>
      <c r="E55" s="28">
        <v>2.0000000000000002E-5</v>
      </c>
      <c r="F55" s="28">
        <v>94.333299999999994</v>
      </c>
      <c r="G55" s="28">
        <v>56.333300000000001</v>
      </c>
      <c r="H55" s="28">
        <v>0.5971730025346299</v>
      </c>
      <c r="I55" s="28">
        <v>79.289900000000003</v>
      </c>
      <c r="J55" s="28">
        <v>20.710100000000001</v>
      </c>
      <c r="K55" s="28">
        <v>77.142899999999997</v>
      </c>
      <c r="L55" s="28">
        <v>76</v>
      </c>
      <c r="M55" s="28">
        <v>100</v>
      </c>
      <c r="N55" s="28">
        <v>936.75645999999995</v>
      </c>
      <c r="O55" s="28">
        <v>107.5</v>
      </c>
      <c r="P55" s="28">
        <v>829</v>
      </c>
      <c r="Q55" s="28">
        <v>0.25646000000000002</v>
      </c>
      <c r="R55" s="28">
        <v>139.507229</v>
      </c>
    </row>
    <row r="56" spans="1:18" x14ac:dyDescent="0.25">
      <c r="A56" t="s">
        <v>18</v>
      </c>
      <c r="B56">
        <v>300</v>
      </c>
      <c r="C56">
        <v>105</v>
      </c>
      <c r="D56">
        <v>4</v>
      </c>
      <c r="E56" s="28">
        <v>1.9000000000000001E-5</v>
      </c>
      <c r="F56" s="28">
        <v>94.333299999999994</v>
      </c>
      <c r="G56" s="28">
        <v>55.333300000000001</v>
      </c>
      <c r="H56" s="28">
        <v>0.58657229207501493</v>
      </c>
      <c r="I56" s="28">
        <v>69.277100000000004</v>
      </c>
      <c r="J56" s="28">
        <v>30.722899999999999</v>
      </c>
      <c r="K56" s="28">
        <v>68.571399999999997</v>
      </c>
      <c r="L56" s="28">
        <v>67</v>
      </c>
      <c r="M56" s="28">
        <v>100</v>
      </c>
      <c r="N56" s="28">
        <v>950.64486999999997</v>
      </c>
      <c r="O56" s="28">
        <v>107.5</v>
      </c>
      <c r="P56" s="28">
        <v>842.9</v>
      </c>
      <c r="Q56" s="28">
        <v>0.24487</v>
      </c>
      <c r="R56" s="28">
        <v>153.447081</v>
      </c>
    </row>
    <row r="57" spans="1:18" x14ac:dyDescent="0.25">
      <c r="A57" t="s">
        <v>18</v>
      </c>
      <c r="B57">
        <v>300</v>
      </c>
      <c r="C57">
        <v>105</v>
      </c>
      <c r="D57">
        <v>4</v>
      </c>
      <c r="E57" s="28">
        <v>1.9000000000000001E-5</v>
      </c>
      <c r="F57" s="28">
        <v>94.333299999999994</v>
      </c>
      <c r="G57" s="28">
        <v>53.333300000000001</v>
      </c>
      <c r="H57" s="28">
        <v>0.56537087115578488</v>
      </c>
      <c r="I57" s="28">
        <v>72.5</v>
      </c>
      <c r="J57" s="28">
        <v>27.5</v>
      </c>
      <c r="K57" s="28">
        <v>68.571399999999997</v>
      </c>
      <c r="L57" s="28">
        <v>67</v>
      </c>
      <c r="M57" s="28">
        <v>100</v>
      </c>
      <c r="N57" s="28">
        <v>980.24716000000001</v>
      </c>
      <c r="O57" s="28">
        <v>107.5</v>
      </c>
      <c r="P57" s="28">
        <v>872.5</v>
      </c>
      <c r="Q57" s="28">
        <v>0.24715999999999999</v>
      </c>
      <c r="R57" s="28">
        <v>149.90897000000001</v>
      </c>
    </row>
    <row r="58" spans="1:18" x14ac:dyDescent="0.25">
      <c r="A58" t="s">
        <v>18</v>
      </c>
      <c r="B58">
        <v>300</v>
      </c>
      <c r="C58">
        <v>105</v>
      </c>
      <c r="D58">
        <v>4</v>
      </c>
      <c r="E58" s="28">
        <v>1.9000000000000001E-5</v>
      </c>
      <c r="F58" s="28">
        <v>94.333299999999994</v>
      </c>
      <c r="G58" s="28">
        <v>53.666699999999999</v>
      </c>
      <c r="H58" s="28">
        <v>0.5689051480230205</v>
      </c>
      <c r="I58" s="28">
        <v>74.534199999999998</v>
      </c>
      <c r="J58" s="28">
        <v>25.465800000000002</v>
      </c>
      <c r="K58" s="28">
        <v>72.381</v>
      </c>
      <c r="L58" s="28">
        <v>71</v>
      </c>
      <c r="M58" s="28">
        <v>100</v>
      </c>
      <c r="N58" s="28">
        <v>1000.15332</v>
      </c>
      <c r="O58" s="28">
        <v>107.5</v>
      </c>
      <c r="P58" s="28">
        <v>892.4</v>
      </c>
      <c r="Q58" s="28">
        <v>0.25331999999999999</v>
      </c>
      <c r="R58" s="28">
        <v>145.12813</v>
      </c>
    </row>
    <row r="59" spans="1:18" x14ac:dyDescent="0.25">
      <c r="A59" t="s">
        <v>18</v>
      </c>
      <c r="B59">
        <v>300</v>
      </c>
      <c r="C59">
        <v>105</v>
      </c>
      <c r="D59">
        <v>4</v>
      </c>
      <c r="E59" s="28">
        <v>2.0000000000000002E-5</v>
      </c>
      <c r="F59" s="28">
        <v>94.333299999999994</v>
      </c>
      <c r="G59" s="28">
        <v>55.666699999999999</v>
      </c>
      <c r="H59" s="28">
        <v>0.59010656894225055</v>
      </c>
      <c r="I59" s="28">
        <v>76.047899999999998</v>
      </c>
      <c r="J59" s="28">
        <v>23.952100000000002</v>
      </c>
      <c r="K59" s="28">
        <v>67.619</v>
      </c>
      <c r="L59" s="28">
        <v>66</v>
      </c>
      <c r="M59" s="28">
        <v>100</v>
      </c>
      <c r="N59" s="28">
        <v>961.14595999999995</v>
      </c>
      <c r="O59" s="28">
        <v>107.5</v>
      </c>
      <c r="P59" s="28">
        <v>853.4</v>
      </c>
      <c r="Q59" s="28">
        <v>0.24596000000000001</v>
      </c>
      <c r="R59" s="28">
        <v>144.840509</v>
      </c>
    </row>
    <row r="60" spans="1:18" x14ac:dyDescent="0.25">
      <c r="A60" t="s">
        <v>18</v>
      </c>
      <c r="B60">
        <v>300</v>
      </c>
      <c r="C60">
        <v>105</v>
      </c>
      <c r="D60">
        <v>4</v>
      </c>
      <c r="E60" s="28">
        <v>1.9000000000000001E-5</v>
      </c>
      <c r="F60" s="28">
        <v>94.333299999999994</v>
      </c>
      <c r="G60" s="28">
        <v>54.666699999999999</v>
      </c>
      <c r="H60" s="28">
        <v>0.57950585848263558</v>
      </c>
      <c r="I60" s="28">
        <v>68.9024</v>
      </c>
      <c r="J60" s="28">
        <v>31.0976</v>
      </c>
      <c r="K60" s="28">
        <v>69.523799999999994</v>
      </c>
      <c r="L60" s="28">
        <v>68</v>
      </c>
      <c r="M60" s="28">
        <v>100</v>
      </c>
      <c r="N60" s="28">
        <v>981.84670000000006</v>
      </c>
      <c r="O60" s="28">
        <v>107.5</v>
      </c>
      <c r="P60" s="28">
        <v>874.1</v>
      </c>
      <c r="Q60" s="28">
        <v>0.2467</v>
      </c>
      <c r="R60" s="28">
        <v>154.63916399999999</v>
      </c>
    </row>
    <row r="61" spans="1:18" x14ac:dyDescent="0.25">
      <c r="A61" t="s">
        <v>18</v>
      </c>
      <c r="B61">
        <v>300</v>
      </c>
      <c r="C61">
        <v>105</v>
      </c>
      <c r="D61">
        <v>4</v>
      </c>
      <c r="E61" s="28">
        <v>1.9000000000000001E-5</v>
      </c>
      <c r="F61" s="28">
        <v>94.333299999999994</v>
      </c>
      <c r="G61" s="28">
        <v>55.333300000000001</v>
      </c>
      <c r="H61" s="28">
        <v>0.58657229207501493</v>
      </c>
      <c r="I61" s="28">
        <v>72.891599999999997</v>
      </c>
      <c r="J61" s="28">
        <v>27.1084</v>
      </c>
      <c r="K61" s="28">
        <v>70.476200000000006</v>
      </c>
      <c r="L61" s="28">
        <v>69</v>
      </c>
      <c r="M61" s="28">
        <v>100</v>
      </c>
      <c r="N61" s="28">
        <v>945.44966999999997</v>
      </c>
      <c r="O61" s="28">
        <v>107.5</v>
      </c>
      <c r="P61" s="28">
        <v>837.7</v>
      </c>
      <c r="Q61" s="28">
        <v>0.24967</v>
      </c>
      <c r="R61" s="28">
        <v>149.58025799999999</v>
      </c>
    </row>
    <row r="62" spans="1:18" x14ac:dyDescent="0.25">
      <c r="A62" t="s">
        <v>18</v>
      </c>
      <c r="B62">
        <v>300</v>
      </c>
      <c r="C62">
        <v>105</v>
      </c>
      <c r="D62">
        <v>4</v>
      </c>
      <c r="E62" s="28">
        <v>1.9000000000000001E-5</v>
      </c>
      <c r="F62" s="28">
        <v>94.333299999999994</v>
      </c>
      <c r="G62" s="28">
        <v>53.333300000000001</v>
      </c>
      <c r="H62" s="28">
        <v>0.56537087115578488</v>
      </c>
      <c r="I62" s="28">
        <v>71.25</v>
      </c>
      <c r="J62" s="28">
        <v>28.75</v>
      </c>
      <c r="K62" s="28">
        <v>70.476200000000006</v>
      </c>
      <c r="L62" s="28">
        <v>69</v>
      </c>
      <c r="M62" s="28">
        <v>100</v>
      </c>
      <c r="N62" s="28">
        <v>1015.64769</v>
      </c>
      <c r="O62" s="28">
        <v>107.5</v>
      </c>
      <c r="P62" s="28">
        <v>907.9</v>
      </c>
      <c r="Q62" s="28">
        <v>0.24768999999999999</v>
      </c>
      <c r="R62" s="28">
        <v>152.84072</v>
      </c>
    </row>
    <row r="63" spans="1:18" x14ac:dyDescent="0.25">
      <c r="A63" t="s">
        <v>18</v>
      </c>
      <c r="B63">
        <v>300</v>
      </c>
      <c r="C63">
        <v>105</v>
      </c>
      <c r="D63">
        <v>4</v>
      </c>
      <c r="E63" s="28">
        <v>2.0000000000000002E-5</v>
      </c>
      <c r="F63" s="28">
        <v>94.333299999999994</v>
      </c>
      <c r="G63" s="28">
        <v>56.666699999999999</v>
      </c>
      <c r="H63" s="28">
        <v>0.60070727940186552</v>
      </c>
      <c r="I63" s="28">
        <v>69.411799999999999</v>
      </c>
      <c r="J63" s="28">
        <v>30.588200000000001</v>
      </c>
      <c r="K63" s="28">
        <v>69.523799999999994</v>
      </c>
      <c r="L63" s="28">
        <v>68</v>
      </c>
      <c r="M63" s="28">
        <v>100</v>
      </c>
      <c r="N63" s="28">
        <v>908.64715000000001</v>
      </c>
      <c r="O63" s="28">
        <v>107.5</v>
      </c>
      <c r="P63" s="28">
        <v>800.9</v>
      </c>
      <c r="Q63" s="28">
        <v>0.24715000000000001</v>
      </c>
      <c r="R63" s="28">
        <v>154.902725</v>
      </c>
    </row>
    <row r="64" spans="1:18" x14ac:dyDescent="0.25">
      <c r="A64" t="s">
        <v>18</v>
      </c>
      <c r="B64">
        <v>300</v>
      </c>
      <c r="C64">
        <v>105</v>
      </c>
      <c r="D64">
        <v>4</v>
      </c>
      <c r="E64" s="28">
        <v>1.9000000000000001E-5</v>
      </c>
      <c r="F64" s="28">
        <v>94.333299999999994</v>
      </c>
      <c r="G64" s="28">
        <v>55.333300000000001</v>
      </c>
      <c r="H64" s="28">
        <v>0.58657229207501493</v>
      </c>
      <c r="I64" s="28">
        <v>73.494</v>
      </c>
      <c r="J64" s="28">
        <v>26.506</v>
      </c>
      <c r="K64" s="28">
        <v>74.285700000000006</v>
      </c>
      <c r="L64" s="28">
        <v>73</v>
      </c>
      <c r="M64" s="28">
        <v>100</v>
      </c>
      <c r="N64" s="28">
        <v>953.85314000000005</v>
      </c>
      <c r="O64" s="28">
        <v>107.5</v>
      </c>
      <c r="P64" s="28">
        <v>846.1</v>
      </c>
      <c r="Q64" s="28">
        <v>0.25313999999999998</v>
      </c>
      <c r="R64" s="28">
        <v>148.190438</v>
      </c>
    </row>
    <row r="65" spans="1:18" x14ac:dyDescent="0.25">
      <c r="A65" t="s">
        <v>18</v>
      </c>
      <c r="B65">
        <v>300</v>
      </c>
      <c r="C65">
        <v>105</v>
      </c>
      <c r="D65">
        <v>4</v>
      </c>
      <c r="E65" s="28">
        <v>1.8E-5</v>
      </c>
      <c r="F65" s="28">
        <v>94.333299999999994</v>
      </c>
      <c r="G65" s="28">
        <v>49.333300000000001</v>
      </c>
      <c r="H65" s="28">
        <v>0.52296802931732489</v>
      </c>
      <c r="I65" s="28">
        <v>76.351399999999998</v>
      </c>
      <c r="J65" s="28">
        <v>23.648599999999998</v>
      </c>
      <c r="K65" s="28">
        <v>67.619</v>
      </c>
      <c r="L65" s="28">
        <v>66</v>
      </c>
      <c r="M65" s="28">
        <v>100</v>
      </c>
      <c r="N65" s="28">
        <v>1082.04342</v>
      </c>
      <c r="O65" s="28">
        <v>107.5</v>
      </c>
      <c r="P65" s="28">
        <v>974.3</v>
      </c>
      <c r="Q65" s="28">
        <v>0.24342</v>
      </c>
      <c r="R65" s="28">
        <v>143.61764400000001</v>
      </c>
    </row>
    <row r="66" spans="1:18" x14ac:dyDescent="0.25">
      <c r="A66" t="s">
        <v>18</v>
      </c>
      <c r="B66">
        <v>300</v>
      </c>
      <c r="C66">
        <v>105</v>
      </c>
      <c r="D66">
        <v>4</v>
      </c>
      <c r="E66" s="28">
        <v>1.9000000000000001E-5</v>
      </c>
      <c r="F66" s="28">
        <v>94.333299999999994</v>
      </c>
      <c r="G66" s="28">
        <v>54</v>
      </c>
      <c r="H66" s="28">
        <v>0.57243836481921018</v>
      </c>
      <c r="I66" s="28">
        <v>70.987700000000004</v>
      </c>
      <c r="J66" s="28">
        <v>29.0123</v>
      </c>
      <c r="K66" s="28">
        <v>72.381</v>
      </c>
      <c r="L66" s="28">
        <v>71</v>
      </c>
      <c r="M66" s="28">
        <v>100</v>
      </c>
      <c r="N66" s="28">
        <v>979.24982999999997</v>
      </c>
      <c r="O66" s="28">
        <v>107.5</v>
      </c>
      <c r="P66" s="28">
        <v>871.5</v>
      </c>
      <c r="Q66" s="28">
        <v>0.24983</v>
      </c>
      <c r="R66" s="28">
        <v>153.36377200000001</v>
      </c>
    </row>
    <row r="67" spans="1:18" x14ac:dyDescent="0.25">
      <c r="A67" t="s">
        <v>18</v>
      </c>
      <c r="B67">
        <v>300</v>
      </c>
      <c r="C67">
        <v>105</v>
      </c>
      <c r="D67">
        <v>4</v>
      </c>
      <c r="E67" s="28">
        <v>2.0999999999999999E-5</v>
      </c>
      <c r="F67" s="28">
        <v>94.333299999999994</v>
      </c>
      <c r="G67" s="28">
        <v>56.666699999999999</v>
      </c>
      <c r="H67" s="28">
        <v>0.60070727940186552</v>
      </c>
      <c r="I67" s="28">
        <v>68.823499999999996</v>
      </c>
      <c r="J67" s="28">
        <v>31.176500000000001</v>
      </c>
      <c r="K67" s="28">
        <v>67.619</v>
      </c>
      <c r="L67" s="28">
        <v>66</v>
      </c>
      <c r="M67" s="28">
        <v>100</v>
      </c>
      <c r="N67" s="28">
        <v>920.44579999999996</v>
      </c>
      <c r="O67" s="28">
        <v>107.5</v>
      </c>
      <c r="P67" s="28">
        <v>812.7</v>
      </c>
      <c r="Q67" s="28">
        <v>0.24579999999999999</v>
      </c>
      <c r="R67" s="28">
        <v>154.475562</v>
      </c>
    </row>
    <row r="68" spans="1:18" x14ac:dyDescent="0.25">
      <c r="A68" t="s">
        <v>18</v>
      </c>
      <c r="B68">
        <v>300</v>
      </c>
      <c r="C68">
        <v>105</v>
      </c>
      <c r="D68">
        <v>4</v>
      </c>
      <c r="E68" s="28">
        <v>2.0999999999999999E-5</v>
      </c>
      <c r="F68" s="28">
        <v>94.333299999999994</v>
      </c>
      <c r="G68" s="28">
        <v>57.333300000000001</v>
      </c>
      <c r="H68" s="28">
        <v>0.60777371299424487</v>
      </c>
      <c r="I68" s="28">
        <v>71.511600000000001</v>
      </c>
      <c r="J68" s="28">
        <v>28.488399999999999</v>
      </c>
      <c r="K68" s="28">
        <v>68.571399999999997</v>
      </c>
      <c r="L68" s="28">
        <v>67</v>
      </c>
      <c r="M68" s="28">
        <v>100</v>
      </c>
      <c r="N68" s="28">
        <v>899.44614000000001</v>
      </c>
      <c r="O68" s="28">
        <v>107.5</v>
      </c>
      <c r="P68" s="28">
        <v>791.7</v>
      </c>
      <c r="Q68" s="28">
        <v>0.24614</v>
      </c>
      <c r="R68" s="28">
        <v>153.442903</v>
      </c>
    </row>
    <row r="69" spans="1:18" x14ac:dyDescent="0.25">
      <c r="A69" t="s">
        <v>18</v>
      </c>
      <c r="B69">
        <v>300</v>
      </c>
      <c r="C69">
        <v>105</v>
      </c>
      <c r="D69">
        <v>4</v>
      </c>
      <c r="E69" s="28">
        <v>2.0000000000000002E-5</v>
      </c>
      <c r="F69" s="28">
        <v>94.333299999999994</v>
      </c>
      <c r="G69" s="28">
        <v>56.666699999999999</v>
      </c>
      <c r="H69" s="28">
        <v>0.60070727940186552</v>
      </c>
      <c r="I69" s="28">
        <v>71.764700000000005</v>
      </c>
      <c r="J69" s="28">
        <v>28.235299999999999</v>
      </c>
      <c r="K69" s="28">
        <v>73.333299999999994</v>
      </c>
      <c r="L69" s="28">
        <v>72</v>
      </c>
      <c r="M69" s="28">
        <v>100</v>
      </c>
      <c r="N69" s="28">
        <v>932.45222000000001</v>
      </c>
      <c r="O69" s="28">
        <v>107.5</v>
      </c>
      <c r="P69" s="28">
        <v>824.7</v>
      </c>
      <c r="Q69" s="28">
        <v>0.25222</v>
      </c>
      <c r="R69" s="28">
        <v>149.669297</v>
      </c>
    </row>
    <row r="70" spans="1:18" x14ac:dyDescent="0.25">
      <c r="A70" t="s">
        <v>18</v>
      </c>
      <c r="B70">
        <v>300</v>
      </c>
      <c r="C70">
        <v>105</v>
      </c>
      <c r="D70">
        <v>4</v>
      </c>
      <c r="E70" s="28">
        <v>1.9000000000000001E-5</v>
      </c>
      <c r="F70" s="28">
        <v>94.333299999999994</v>
      </c>
      <c r="G70" s="28">
        <v>53.333300000000001</v>
      </c>
      <c r="H70" s="28">
        <v>0.56537087115578488</v>
      </c>
      <c r="I70" s="28">
        <v>75.625</v>
      </c>
      <c r="J70" s="28">
        <v>24.375</v>
      </c>
      <c r="K70" s="28">
        <v>73.333299999999994</v>
      </c>
      <c r="L70" s="28">
        <v>72</v>
      </c>
      <c r="M70" s="28">
        <v>100</v>
      </c>
      <c r="N70" s="28">
        <v>1001.65101</v>
      </c>
      <c r="O70" s="28">
        <v>107.5</v>
      </c>
      <c r="P70" s="28">
        <v>893.9</v>
      </c>
      <c r="Q70" s="28">
        <v>0.25101000000000001</v>
      </c>
      <c r="R70" s="28">
        <v>146.28804199999999</v>
      </c>
    </row>
    <row r="71" spans="1:18" x14ac:dyDescent="0.25">
      <c r="A71" t="s">
        <v>18</v>
      </c>
      <c r="B71">
        <v>300</v>
      </c>
      <c r="C71">
        <v>105</v>
      </c>
      <c r="D71">
        <v>4</v>
      </c>
      <c r="E71" s="28">
        <v>2.1999999999999999E-5</v>
      </c>
      <c r="F71" s="28">
        <v>94.333299999999994</v>
      </c>
      <c r="G71" s="28">
        <v>60.666699999999999</v>
      </c>
      <c r="H71" s="28">
        <v>0.64311012124032552</v>
      </c>
      <c r="I71" s="28">
        <v>66.483500000000006</v>
      </c>
      <c r="J71" s="28">
        <v>33.516500000000001</v>
      </c>
      <c r="K71" s="28">
        <v>67.619</v>
      </c>
      <c r="L71" s="28">
        <v>66</v>
      </c>
      <c r="M71" s="28">
        <v>100</v>
      </c>
      <c r="N71" s="28">
        <v>837.64445999999998</v>
      </c>
      <c r="O71" s="28">
        <v>107.5</v>
      </c>
      <c r="P71" s="28">
        <v>729.9</v>
      </c>
      <c r="Q71" s="28">
        <v>0.24446000000000001</v>
      </c>
      <c r="R71" s="28">
        <v>159.49715499999999</v>
      </c>
    </row>
    <row r="72" spans="1:18" x14ac:dyDescent="0.25">
      <c r="A72" t="s">
        <v>18</v>
      </c>
      <c r="B72">
        <v>300</v>
      </c>
      <c r="C72">
        <v>105</v>
      </c>
      <c r="D72">
        <v>4</v>
      </c>
      <c r="E72" s="28">
        <v>1.8E-5</v>
      </c>
      <c r="F72" s="28">
        <v>94.333299999999994</v>
      </c>
      <c r="G72" s="28">
        <v>53.333300000000001</v>
      </c>
      <c r="H72" s="28">
        <v>0.56537087115578488</v>
      </c>
      <c r="I72" s="28">
        <v>77.5</v>
      </c>
      <c r="J72" s="28">
        <v>22.5</v>
      </c>
      <c r="K72" s="28">
        <v>68.571399999999997</v>
      </c>
      <c r="L72" s="28">
        <v>67</v>
      </c>
      <c r="M72" s="28">
        <v>100</v>
      </c>
      <c r="N72" s="28">
        <v>990.04841999999996</v>
      </c>
      <c r="O72" s="28">
        <v>107.5</v>
      </c>
      <c r="P72" s="28">
        <v>882.3</v>
      </c>
      <c r="Q72" s="28">
        <v>0.24842</v>
      </c>
      <c r="R72" s="28">
        <v>141.85885500000001</v>
      </c>
    </row>
    <row r="73" spans="1:18" x14ac:dyDescent="0.25">
      <c r="A73" t="s">
        <v>18</v>
      </c>
      <c r="B73">
        <v>300</v>
      </c>
      <c r="C73">
        <v>105</v>
      </c>
      <c r="D73">
        <v>4</v>
      </c>
      <c r="E73" s="28">
        <v>2.0000000000000002E-5</v>
      </c>
      <c r="F73" s="28">
        <v>94.333299999999994</v>
      </c>
      <c r="G73" s="28">
        <v>57.666699999999999</v>
      </c>
      <c r="H73" s="28">
        <v>0.61130798986148049</v>
      </c>
      <c r="I73" s="28">
        <v>73.988399999999999</v>
      </c>
      <c r="J73" s="28">
        <v>26.011600000000001</v>
      </c>
      <c r="K73" s="28">
        <v>74.285700000000006</v>
      </c>
      <c r="L73" s="28">
        <v>73</v>
      </c>
      <c r="M73" s="28">
        <v>100</v>
      </c>
      <c r="N73" s="28">
        <v>884.15472</v>
      </c>
      <c r="O73" s="28">
        <v>107.5</v>
      </c>
      <c r="P73" s="28">
        <v>776.4</v>
      </c>
      <c r="Q73" s="28">
        <v>0.25472</v>
      </c>
      <c r="R73" s="28">
        <v>150.401106</v>
      </c>
    </row>
    <row r="74" spans="1:18" x14ac:dyDescent="0.25">
      <c r="A74" t="s">
        <v>18</v>
      </c>
      <c r="B74">
        <v>300</v>
      </c>
      <c r="C74">
        <v>105</v>
      </c>
      <c r="D74">
        <v>4</v>
      </c>
      <c r="E74" s="28">
        <v>1.9000000000000001E-5</v>
      </c>
      <c r="F74" s="28">
        <v>94.333299999999994</v>
      </c>
      <c r="G74" s="28">
        <v>56</v>
      </c>
      <c r="H74" s="28">
        <v>0.59363978573844023</v>
      </c>
      <c r="I74" s="28">
        <v>72.023799999999994</v>
      </c>
      <c r="J74" s="28">
        <v>27.976199999999999</v>
      </c>
      <c r="K74" s="28">
        <v>70.476200000000006</v>
      </c>
      <c r="L74" s="28">
        <v>69</v>
      </c>
      <c r="M74" s="28">
        <v>100</v>
      </c>
      <c r="N74" s="28">
        <v>918.64831000000004</v>
      </c>
      <c r="O74" s="28">
        <v>107.5</v>
      </c>
      <c r="P74" s="28">
        <v>810.9</v>
      </c>
      <c r="Q74" s="28">
        <v>0.24831</v>
      </c>
      <c r="R74" s="28">
        <v>152.020906</v>
      </c>
    </row>
    <row r="75" spans="1:18" x14ac:dyDescent="0.25">
      <c r="A75" t="s">
        <v>18</v>
      </c>
      <c r="B75">
        <v>300</v>
      </c>
      <c r="C75">
        <v>105</v>
      </c>
      <c r="D75">
        <v>4</v>
      </c>
      <c r="E75" s="28">
        <v>2.0000000000000002E-5</v>
      </c>
      <c r="F75" s="28">
        <v>94.333299999999994</v>
      </c>
      <c r="G75" s="28">
        <v>57.333300000000001</v>
      </c>
      <c r="H75" s="28">
        <v>0.60777371299424487</v>
      </c>
      <c r="I75" s="28">
        <v>68.604699999999994</v>
      </c>
      <c r="J75" s="28">
        <v>31.395299999999999</v>
      </c>
      <c r="K75" s="28">
        <v>69.523799999999994</v>
      </c>
      <c r="L75" s="28">
        <v>68</v>
      </c>
      <c r="M75" s="28">
        <v>100</v>
      </c>
      <c r="N75" s="28">
        <v>885.44735000000003</v>
      </c>
      <c r="O75" s="28">
        <v>107.5</v>
      </c>
      <c r="P75" s="28">
        <v>777.7</v>
      </c>
      <c r="Q75" s="28">
        <v>0.24734999999999999</v>
      </c>
      <c r="R75" s="28">
        <v>156.715194</v>
      </c>
    </row>
    <row r="76" spans="1:18" x14ac:dyDescent="0.25">
      <c r="A76" t="s">
        <v>18</v>
      </c>
      <c r="B76">
        <v>300</v>
      </c>
      <c r="C76">
        <v>105</v>
      </c>
      <c r="D76">
        <v>4</v>
      </c>
      <c r="E76" s="28">
        <v>1.9000000000000001E-5</v>
      </c>
      <c r="F76" s="28">
        <v>94.333299999999994</v>
      </c>
      <c r="G76" s="28">
        <v>53</v>
      </c>
      <c r="H76" s="28">
        <v>0.56183765435959521</v>
      </c>
      <c r="I76" s="28">
        <v>72.956000000000003</v>
      </c>
      <c r="J76" s="28">
        <v>27.044</v>
      </c>
      <c r="K76" s="28">
        <v>69.523799999999994</v>
      </c>
      <c r="L76" s="28">
        <v>68</v>
      </c>
      <c r="M76" s="28">
        <v>100</v>
      </c>
      <c r="N76" s="28">
        <v>987.34739999999999</v>
      </c>
      <c r="O76" s="28">
        <v>107.5</v>
      </c>
      <c r="P76" s="28">
        <v>879.6</v>
      </c>
      <c r="Q76" s="28">
        <v>0.24740000000000001</v>
      </c>
      <c r="R76" s="28">
        <v>148.96420000000001</v>
      </c>
    </row>
    <row r="77" spans="1:18" x14ac:dyDescent="0.25">
      <c r="A77" t="s">
        <v>18</v>
      </c>
      <c r="B77">
        <v>300</v>
      </c>
      <c r="C77">
        <v>105</v>
      </c>
      <c r="D77">
        <v>4</v>
      </c>
      <c r="E77" s="28">
        <v>1.9000000000000001E-5</v>
      </c>
      <c r="F77" s="28">
        <v>94.333299999999994</v>
      </c>
      <c r="G77" s="28">
        <v>54</v>
      </c>
      <c r="H77" s="28">
        <v>0.57243836481921018</v>
      </c>
      <c r="I77" s="28">
        <v>72.839500000000001</v>
      </c>
      <c r="J77" s="28">
        <v>27.160499999999999</v>
      </c>
      <c r="K77" s="28">
        <v>69.523799999999994</v>
      </c>
      <c r="L77" s="28">
        <v>68</v>
      </c>
      <c r="M77" s="28">
        <v>100</v>
      </c>
      <c r="N77" s="28">
        <v>994.44772</v>
      </c>
      <c r="O77" s="28">
        <v>107.5</v>
      </c>
      <c r="P77" s="28">
        <v>886.7</v>
      </c>
      <c r="Q77" s="28">
        <v>0.24772</v>
      </c>
      <c r="R77" s="28">
        <v>149.460409</v>
      </c>
    </row>
    <row r="78" spans="1:18" x14ac:dyDescent="0.25">
      <c r="A78" t="s">
        <v>18</v>
      </c>
      <c r="B78">
        <v>300</v>
      </c>
      <c r="C78">
        <v>105</v>
      </c>
      <c r="D78">
        <v>4</v>
      </c>
      <c r="E78" s="28">
        <v>2.0000000000000002E-5</v>
      </c>
      <c r="F78" s="28">
        <v>94.333299999999994</v>
      </c>
      <c r="G78" s="28">
        <v>56.333300000000001</v>
      </c>
      <c r="H78" s="28">
        <v>0.5971730025346299</v>
      </c>
      <c r="I78" s="28">
        <v>68.639099999999999</v>
      </c>
      <c r="J78" s="28">
        <v>31.360900000000001</v>
      </c>
      <c r="K78" s="28">
        <v>69.523799999999994</v>
      </c>
      <c r="L78" s="28">
        <v>68</v>
      </c>
      <c r="M78" s="28">
        <v>100</v>
      </c>
      <c r="N78" s="28">
        <v>940.14607000000001</v>
      </c>
      <c r="O78" s="28">
        <v>107.5</v>
      </c>
      <c r="P78" s="28">
        <v>832.4</v>
      </c>
      <c r="Q78" s="28">
        <v>0.24607000000000001</v>
      </c>
      <c r="R78" s="28">
        <v>153.067804</v>
      </c>
    </row>
    <row r="79" spans="1:18" x14ac:dyDescent="0.25">
      <c r="A79" t="s">
        <v>18</v>
      </c>
      <c r="B79">
        <v>300</v>
      </c>
      <c r="C79">
        <v>105</v>
      </c>
      <c r="D79">
        <v>4</v>
      </c>
      <c r="E79" s="28">
        <v>2.0999999999999999E-5</v>
      </c>
      <c r="F79" s="28">
        <v>94.333299999999994</v>
      </c>
      <c r="G79" s="28">
        <v>58</v>
      </c>
      <c r="H79" s="28">
        <v>0.61484120665767028</v>
      </c>
      <c r="I79" s="28">
        <v>72.988500000000002</v>
      </c>
      <c r="J79" s="28">
        <v>27.011500000000002</v>
      </c>
      <c r="K79" s="28">
        <v>73.333299999999994</v>
      </c>
      <c r="L79" s="28">
        <v>72</v>
      </c>
      <c r="M79" s="28">
        <v>100</v>
      </c>
      <c r="N79" s="28">
        <v>907.85189000000003</v>
      </c>
      <c r="O79" s="28">
        <v>107.5</v>
      </c>
      <c r="P79" s="28">
        <v>800.1</v>
      </c>
      <c r="Q79" s="28">
        <v>0.25189</v>
      </c>
      <c r="R79" s="28">
        <v>146.62674200000001</v>
      </c>
    </row>
    <row r="80" spans="1:18" x14ac:dyDescent="0.25">
      <c r="A80" t="s">
        <v>18</v>
      </c>
      <c r="B80">
        <v>300</v>
      </c>
      <c r="C80">
        <v>105</v>
      </c>
      <c r="D80">
        <v>4</v>
      </c>
      <c r="E80" s="28">
        <v>1.9000000000000001E-5</v>
      </c>
      <c r="F80" s="28">
        <v>94.333299999999994</v>
      </c>
      <c r="G80" s="28">
        <v>50</v>
      </c>
      <c r="H80" s="28">
        <v>0.53003552298075018</v>
      </c>
      <c r="I80" s="28">
        <v>71.333299999999994</v>
      </c>
      <c r="J80" s="28">
        <v>28.666699999999999</v>
      </c>
      <c r="K80" s="28">
        <v>65.714299999999994</v>
      </c>
      <c r="L80" s="28">
        <v>64</v>
      </c>
      <c r="M80" s="28">
        <v>100</v>
      </c>
      <c r="N80" s="28">
        <v>1036.44264</v>
      </c>
      <c r="O80" s="28">
        <v>107.5</v>
      </c>
      <c r="P80" s="28">
        <v>928.7</v>
      </c>
      <c r="Q80" s="28">
        <v>0.24263999999999999</v>
      </c>
      <c r="R80" s="28">
        <v>151.450965</v>
      </c>
    </row>
    <row r="81" spans="1:18" x14ac:dyDescent="0.25">
      <c r="A81" t="s">
        <v>18</v>
      </c>
      <c r="B81">
        <v>300</v>
      </c>
      <c r="C81">
        <v>105</v>
      </c>
      <c r="D81">
        <v>4</v>
      </c>
      <c r="E81" s="28">
        <v>1.9000000000000001E-5</v>
      </c>
      <c r="F81" s="28">
        <v>94.333299999999994</v>
      </c>
      <c r="G81" s="28">
        <v>52.333300000000001</v>
      </c>
      <c r="H81" s="28">
        <v>0.55477016069616991</v>
      </c>
      <c r="I81" s="28">
        <v>77.706999999999994</v>
      </c>
      <c r="J81" s="28">
        <v>22.292999999999999</v>
      </c>
      <c r="K81" s="28">
        <v>69.523799999999994</v>
      </c>
      <c r="L81" s="28">
        <v>68</v>
      </c>
      <c r="M81" s="28">
        <v>100</v>
      </c>
      <c r="N81" s="28">
        <v>1025.3475900000001</v>
      </c>
      <c r="O81" s="28">
        <v>107.5</v>
      </c>
      <c r="P81" s="28">
        <v>917.6</v>
      </c>
      <c r="Q81" s="28">
        <v>0.24759</v>
      </c>
      <c r="R81" s="28">
        <v>138.54616899999999</v>
      </c>
    </row>
    <row r="82" spans="1:18" x14ac:dyDescent="0.25">
      <c r="A82" t="s">
        <v>18</v>
      </c>
      <c r="B82">
        <v>300</v>
      </c>
      <c r="C82">
        <v>105</v>
      </c>
      <c r="D82">
        <v>4</v>
      </c>
      <c r="E82" s="28">
        <v>2.0000000000000002E-5</v>
      </c>
      <c r="F82" s="28">
        <v>94.333299999999994</v>
      </c>
      <c r="G82" s="28">
        <v>55.666699999999999</v>
      </c>
      <c r="H82" s="28">
        <v>0.59010656894225055</v>
      </c>
      <c r="I82" s="28">
        <v>71.856300000000005</v>
      </c>
      <c r="J82" s="28">
        <v>28.143699999999999</v>
      </c>
      <c r="K82" s="28">
        <v>72.381</v>
      </c>
      <c r="L82" s="28">
        <v>71</v>
      </c>
      <c r="M82" s="28">
        <v>100</v>
      </c>
      <c r="N82" s="28">
        <v>938.95091000000002</v>
      </c>
      <c r="O82" s="28">
        <v>107.5</v>
      </c>
      <c r="P82" s="28">
        <v>831.2</v>
      </c>
      <c r="Q82" s="28">
        <v>0.25091000000000002</v>
      </c>
      <c r="R82" s="28">
        <v>151.39721499999999</v>
      </c>
    </row>
    <row r="83" spans="1:18" x14ac:dyDescent="0.25">
      <c r="A83" t="s">
        <v>18</v>
      </c>
      <c r="B83">
        <v>300</v>
      </c>
      <c r="C83">
        <v>105</v>
      </c>
      <c r="D83">
        <v>4</v>
      </c>
      <c r="E83" s="28">
        <v>1.9000000000000001E-5</v>
      </c>
      <c r="F83" s="28">
        <v>94.333299999999994</v>
      </c>
      <c r="G83" s="28">
        <v>55.666699999999999</v>
      </c>
      <c r="H83" s="28">
        <v>0.59010656894225055</v>
      </c>
      <c r="I83" s="28">
        <v>69.461100000000002</v>
      </c>
      <c r="J83" s="28">
        <v>30.538900000000002</v>
      </c>
      <c r="K83" s="28">
        <v>66.666700000000006</v>
      </c>
      <c r="L83" s="28">
        <v>65</v>
      </c>
      <c r="M83" s="28">
        <v>100</v>
      </c>
      <c r="N83" s="28">
        <v>958.94488999999999</v>
      </c>
      <c r="O83" s="28">
        <v>107.5</v>
      </c>
      <c r="P83" s="28">
        <v>851.2</v>
      </c>
      <c r="Q83" s="28">
        <v>0.24489</v>
      </c>
      <c r="R83" s="28">
        <v>152.04271199999999</v>
      </c>
    </row>
    <row r="84" spans="1:18" x14ac:dyDescent="0.25">
      <c r="A84" t="s">
        <v>18</v>
      </c>
      <c r="B84">
        <v>300</v>
      </c>
      <c r="C84">
        <v>105</v>
      </c>
      <c r="D84">
        <v>4</v>
      </c>
      <c r="E84" s="28">
        <v>2.0000000000000002E-5</v>
      </c>
      <c r="F84" s="28">
        <v>94.333299999999994</v>
      </c>
      <c r="G84" s="28">
        <v>56.333300000000001</v>
      </c>
      <c r="H84" s="28">
        <v>0.5971730025346299</v>
      </c>
      <c r="I84" s="28">
        <v>71.5976</v>
      </c>
      <c r="J84" s="28">
        <v>28.4024</v>
      </c>
      <c r="K84" s="28">
        <v>71.428600000000003</v>
      </c>
      <c r="L84" s="28">
        <v>70</v>
      </c>
      <c r="M84" s="28">
        <v>100</v>
      </c>
      <c r="N84" s="28">
        <v>942.34856000000002</v>
      </c>
      <c r="O84" s="28">
        <v>107.5</v>
      </c>
      <c r="P84" s="28">
        <v>834.6</v>
      </c>
      <c r="Q84" s="28">
        <v>0.24856</v>
      </c>
      <c r="R84" s="28">
        <v>151.12653700000001</v>
      </c>
    </row>
    <row r="85" spans="1:18" x14ac:dyDescent="0.25">
      <c r="A85" t="s">
        <v>18</v>
      </c>
      <c r="B85">
        <v>300</v>
      </c>
      <c r="C85">
        <v>105</v>
      </c>
      <c r="D85">
        <v>4</v>
      </c>
      <c r="E85" s="28">
        <v>1.9000000000000001E-5</v>
      </c>
      <c r="F85" s="28">
        <v>94.333299999999994</v>
      </c>
      <c r="G85" s="28">
        <v>53.333300000000001</v>
      </c>
      <c r="H85" s="28">
        <v>0.56537087115578488</v>
      </c>
      <c r="I85" s="28">
        <v>71.25</v>
      </c>
      <c r="J85" s="28">
        <v>28.75</v>
      </c>
      <c r="K85" s="28">
        <v>70.476200000000006</v>
      </c>
      <c r="L85" s="28">
        <v>69</v>
      </c>
      <c r="M85" s="28">
        <v>100</v>
      </c>
      <c r="N85" s="28">
        <v>1003.84803</v>
      </c>
      <c r="O85" s="28">
        <v>107.5</v>
      </c>
      <c r="P85" s="28">
        <v>896.1</v>
      </c>
      <c r="Q85" s="28">
        <v>0.24803</v>
      </c>
      <c r="R85" s="28">
        <v>154.08122900000001</v>
      </c>
    </row>
    <row r="86" spans="1:18" x14ac:dyDescent="0.25">
      <c r="A86" t="s">
        <v>18</v>
      </c>
      <c r="B86">
        <v>300</v>
      </c>
      <c r="C86">
        <v>105</v>
      </c>
      <c r="D86">
        <v>4</v>
      </c>
      <c r="E86" s="28">
        <v>2.0000000000000002E-5</v>
      </c>
      <c r="F86" s="28">
        <v>94.333299999999994</v>
      </c>
      <c r="G86" s="28">
        <v>57.333300000000001</v>
      </c>
      <c r="H86" s="28">
        <v>0.60777371299424487</v>
      </c>
      <c r="I86" s="28">
        <v>73.255799999999994</v>
      </c>
      <c r="J86" s="28">
        <v>26.744199999999999</v>
      </c>
      <c r="K86" s="28">
        <v>71.428600000000003</v>
      </c>
      <c r="L86" s="28">
        <v>70</v>
      </c>
      <c r="M86" s="28">
        <v>100</v>
      </c>
      <c r="N86" s="28">
        <v>925.25090999999998</v>
      </c>
      <c r="O86" s="28">
        <v>107.5</v>
      </c>
      <c r="P86" s="28">
        <v>817.5</v>
      </c>
      <c r="Q86" s="28">
        <v>0.25091000000000002</v>
      </c>
      <c r="R86" s="28">
        <v>146.59754799999999</v>
      </c>
    </row>
    <row r="87" spans="1:18" x14ac:dyDescent="0.25">
      <c r="A87" t="s">
        <v>18</v>
      </c>
      <c r="B87">
        <v>300</v>
      </c>
      <c r="C87">
        <v>105</v>
      </c>
      <c r="D87">
        <v>4</v>
      </c>
      <c r="E87" s="28">
        <v>2.0999999999999999E-5</v>
      </c>
      <c r="F87" s="28">
        <v>94.333299999999994</v>
      </c>
      <c r="G87" s="28">
        <v>56.333300000000001</v>
      </c>
      <c r="H87" s="28">
        <v>0.5971730025346299</v>
      </c>
      <c r="I87" s="28">
        <v>72.781099999999995</v>
      </c>
      <c r="J87" s="28">
        <v>27.218900000000001</v>
      </c>
      <c r="K87" s="28">
        <v>68.571399999999997</v>
      </c>
      <c r="L87" s="28">
        <v>67</v>
      </c>
      <c r="M87" s="28">
        <v>100</v>
      </c>
      <c r="N87" s="28">
        <v>937.34574999999995</v>
      </c>
      <c r="O87" s="28">
        <v>107.5</v>
      </c>
      <c r="P87" s="28">
        <v>829.6</v>
      </c>
      <c r="Q87" s="28">
        <v>0.24575</v>
      </c>
      <c r="R87" s="28">
        <v>151.349389</v>
      </c>
    </row>
    <row r="88" spans="1:18" x14ac:dyDescent="0.25">
      <c r="A88" t="s">
        <v>18</v>
      </c>
      <c r="B88">
        <v>300</v>
      </c>
      <c r="C88">
        <v>105</v>
      </c>
      <c r="D88">
        <v>4</v>
      </c>
      <c r="E88" s="28">
        <v>2.6999999999999999E-5</v>
      </c>
      <c r="F88" s="28">
        <v>94.333299999999994</v>
      </c>
      <c r="G88" s="28">
        <v>54.333300000000001</v>
      </c>
      <c r="H88" s="28">
        <v>0.57597158161539996</v>
      </c>
      <c r="I88" s="28">
        <v>69.325199999999995</v>
      </c>
      <c r="J88" s="28">
        <v>30.674800000000001</v>
      </c>
      <c r="K88" s="28">
        <v>68.571399999999997</v>
      </c>
      <c r="L88" s="28">
        <v>67</v>
      </c>
      <c r="M88" s="28">
        <v>100</v>
      </c>
      <c r="N88" s="28">
        <v>970.94388000000004</v>
      </c>
      <c r="O88" s="28">
        <v>107.5</v>
      </c>
      <c r="P88" s="28">
        <v>863.2</v>
      </c>
      <c r="Q88" s="28">
        <v>0.24388000000000001</v>
      </c>
      <c r="R88" s="28">
        <v>156.70779200000001</v>
      </c>
    </row>
    <row r="89" spans="1:18" x14ac:dyDescent="0.25">
      <c r="A89" t="s">
        <v>18</v>
      </c>
      <c r="B89">
        <v>300</v>
      </c>
      <c r="C89">
        <v>105</v>
      </c>
      <c r="D89">
        <v>4</v>
      </c>
      <c r="E89" s="28">
        <v>2.0999999999999999E-5</v>
      </c>
      <c r="F89" s="28">
        <v>94.333299999999994</v>
      </c>
      <c r="G89" s="28">
        <v>58</v>
      </c>
      <c r="H89" s="28">
        <v>0.61484120665767028</v>
      </c>
      <c r="I89" s="28">
        <v>73.563199999999995</v>
      </c>
      <c r="J89" s="28">
        <v>26.436800000000002</v>
      </c>
      <c r="K89" s="28">
        <v>74.285700000000006</v>
      </c>
      <c r="L89" s="28">
        <v>73</v>
      </c>
      <c r="M89" s="28">
        <v>100</v>
      </c>
      <c r="N89" s="28">
        <v>902.25193999999999</v>
      </c>
      <c r="O89" s="28">
        <v>107.5</v>
      </c>
      <c r="P89" s="28">
        <v>794.5</v>
      </c>
      <c r="Q89" s="28">
        <v>0.25194</v>
      </c>
      <c r="R89" s="28">
        <v>147.563018</v>
      </c>
    </row>
    <row r="90" spans="1:18" x14ac:dyDescent="0.25">
      <c r="A90" t="s">
        <v>18</v>
      </c>
      <c r="B90">
        <v>300</v>
      </c>
      <c r="C90">
        <v>105</v>
      </c>
      <c r="D90">
        <v>4</v>
      </c>
      <c r="E90" s="28">
        <v>2.0000000000000002E-5</v>
      </c>
      <c r="F90" s="28">
        <v>94.333299999999994</v>
      </c>
      <c r="G90" s="28">
        <v>57</v>
      </c>
      <c r="H90" s="28">
        <v>0.6042404961980552</v>
      </c>
      <c r="I90" s="28">
        <v>74.269000000000005</v>
      </c>
      <c r="J90" s="28">
        <v>25.731000000000002</v>
      </c>
      <c r="K90" s="28">
        <v>74.285700000000006</v>
      </c>
      <c r="L90" s="28">
        <v>73</v>
      </c>
      <c r="M90" s="28">
        <v>100</v>
      </c>
      <c r="N90" s="28">
        <v>911.55344000000002</v>
      </c>
      <c r="O90" s="28">
        <v>107.5</v>
      </c>
      <c r="P90" s="28">
        <v>803.8</v>
      </c>
      <c r="Q90" s="28">
        <v>0.25344</v>
      </c>
      <c r="R90" s="28">
        <v>149.38758100000001</v>
      </c>
    </row>
    <row r="91" spans="1:18" x14ac:dyDescent="0.25">
      <c r="A91" t="s">
        <v>18</v>
      </c>
      <c r="B91">
        <v>300</v>
      </c>
      <c r="C91">
        <v>105</v>
      </c>
      <c r="D91">
        <v>4</v>
      </c>
      <c r="E91" s="28">
        <v>2.0999999999999999E-5</v>
      </c>
      <c r="F91" s="28">
        <v>94.333299999999994</v>
      </c>
      <c r="G91" s="28">
        <v>57.333300000000001</v>
      </c>
      <c r="H91" s="28">
        <v>0.60777371299424487</v>
      </c>
      <c r="I91" s="28">
        <v>68.023300000000006</v>
      </c>
      <c r="J91" s="28">
        <v>31.976700000000001</v>
      </c>
      <c r="K91" s="28">
        <v>77.142899999999997</v>
      </c>
      <c r="L91" s="28">
        <v>76</v>
      </c>
      <c r="M91" s="28">
        <v>100</v>
      </c>
      <c r="N91" s="28">
        <v>905.05560000000003</v>
      </c>
      <c r="O91" s="28">
        <v>107.5</v>
      </c>
      <c r="P91" s="28">
        <v>797.3</v>
      </c>
      <c r="Q91" s="28">
        <v>0.25559999999999999</v>
      </c>
      <c r="R91" s="28">
        <v>158.47418300000001</v>
      </c>
    </row>
    <row r="92" spans="1:18" x14ac:dyDescent="0.25">
      <c r="A92" t="s">
        <v>18</v>
      </c>
      <c r="B92">
        <v>300</v>
      </c>
      <c r="C92">
        <v>105</v>
      </c>
      <c r="D92">
        <v>4</v>
      </c>
      <c r="E92" s="28">
        <v>1.9000000000000001E-5</v>
      </c>
      <c r="F92" s="28">
        <v>94.333299999999994</v>
      </c>
      <c r="G92" s="28">
        <v>54</v>
      </c>
      <c r="H92" s="28">
        <v>0.57243836481921018</v>
      </c>
      <c r="I92" s="28">
        <v>75.308599999999998</v>
      </c>
      <c r="J92" s="28">
        <v>24.691400000000002</v>
      </c>
      <c r="K92" s="28">
        <v>74.285700000000006</v>
      </c>
      <c r="L92" s="28">
        <v>73</v>
      </c>
      <c r="M92" s="28">
        <v>100</v>
      </c>
      <c r="N92" s="28">
        <v>984.65359000000001</v>
      </c>
      <c r="O92" s="28">
        <v>107.5</v>
      </c>
      <c r="P92" s="28">
        <v>876.9</v>
      </c>
      <c r="Q92" s="28">
        <v>0.25358999999999998</v>
      </c>
      <c r="R92" s="28">
        <v>144.063335</v>
      </c>
    </row>
    <row r="93" spans="1:18" x14ac:dyDescent="0.25">
      <c r="A93" t="s">
        <v>18</v>
      </c>
      <c r="B93">
        <v>300</v>
      </c>
      <c r="C93">
        <v>105</v>
      </c>
      <c r="D93">
        <v>4</v>
      </c>
      <c r="E93" s="28">
        <v>2.0000000000000002E-5</v>
      </c>
      <c r="F93" s="28">
        <v>94.333299999999994</v>
      </c>
      <c r="G93" s="28">
        <v>57.666699999999999</v>
      </c>
      <c r="H93" s="28">
        <v>0.61130798986148049</v>
      </c>
      <c r="I93" s="28">
        <v>74.566500000000005</v>
      </c>
      <c r="J93" s="28">
        <v>25.433499999999999</v>
      </c>
      <c r="K93" s="28">
        <v>73.333299999999994</v>
      </c>
      <c r="L93" s="28">
        <v>72</v>
      </c>
      <c r="M93" s="28">
        <v>100</v>
      </c>
      <c r="N93" s="28">
        <v>916.35158999999999</v>
      </c>
      <c r="O93" s="28">
        <v>107.5</v>
      </c>
      <c r="P93" s="28">
        <v>808.6</v>
      </c>
      <c r="Q93" s="28">
        <v>0.25158999999999998</v>
      </c>
      <c r="R93" s="28">
        <v>147.350515</v>
      </c>
    </row>
    <row r="94" spans="1:18" x14ac:dyDescent="0.25">
      <c r="A94" t="s">
        <v>18</v>
      </c>
      <c r="B94">
        <v>300</v>
      </c>
      <c r="C94">
        <v>105</v>
      </c>
      <c r="D94">
        <v>4</v>
      </c>
      <c r="E94" s="28">
        <v>2.0000000000000002E-5</v>
      </c>
      <c r="F94" s="28">
        <v>94.333299999999994</v>
      </c>
      <c r="G94" s="28">
        <v>55</v>
      </c>
      <c r="H94" s="28">
        <v>0.58303907527882526</v>
      </c>
      <c r="I94" s="28">
        <v>73.333299999999994</v>
      </c>
      <c r="J94" s="28">
        <v>26.666699999999999</v>
      </c>
      <c r="K94" s="28">
        <v>69.523799999999994</v>
      </c>
      <c r="L94" s="28">
        <v>68</v>
      </c>
      <c r="M94" s="28">
        <v>100</v>
      </c>
      <c r="N94" s="28">
        <v>956.54717000000005</v>
      </c>
      <c r="O94" s="28">
        <v>107.5</v>
      </c>
      <c r="P94" s="28">
        <v>848.8</v>
      </c>
      <c r="Q94" s="28">
        <v>0.24717</v>
      </c>
      <c r="R94" s="28">
        <v>149.748706</v>
      </c>
    </row>
    <row r="95" spans="1:18" x14ac:dyDescent="0.25">
      <c r="A95" t="s">
        <v>18</v>
      </c>
      <c r="B95">
        <v>300</v>
      </c>
      <c r="C95">
        <v>105</v>
      </c>
      <c r="D95">
        <v>4</v>
      </c>
      <c r="E95" s="28">
        <v>2.0000000000000002E-5</v>
      </c>
      <c r="F95" s="28">
        <v>94.333299999999994</v>
      </c>
      <c r="G95" s="28">
        <v>55.666699999999999</v>
      </c>
      <c r="H95" s="28">
        <v>0.59010656894225055</v>
      </c>
      <c r="I95" s="28">
        <v>69.461100000000002</v>
      </c>
      <c r="J95" s="28">
        <v>30.538900000000002</v>
      </c>
      <c r="K95" s="28">
        <v>69.523799999999994</v>
      </c>
      <c r="L95" s="28">
        <v>68</v>
      </c>
      <c r="M95" s="28">
        <v>100</v>
      </c>
      <c r="N95" s="28">
        <v>951.94803999999999</v>
      </c>
      <c r="O95" s="28">
        <v>107.5</v>
      </c>
      <c r="P95" s="28">
        <v>844.2</v>
      </c>
      <c r="Q95" s="28">
        <v>0.24804000000000001</v>
      </c>
      <c r="R95" s="28">
        <v>155.51623900000001</v>
      </c>
    </row>
    <row r="96" spans="1:18" x14ac:dyDescent="0.25">
      <c r="A96" t="s">
        <v>18</v>
      </c>
      <c r="B96">
        <v>300</v>
      </c>
      <c r="C96">
        <v>105</v>
      </c>
      <c r="D96">
        <v>4</v>
      </c>
      <c r="E96" s="28">
        <v>2.1999999999999999E-5</v>
      </c>
      <c r="F96" s="28">
        <v>94.333299999999994</v>
      </c>
      <c r="G96" s="28">
        <v>60</v>
      </c>
      <c r="H96" s="28">
        <v>0.63604262757690022</v>
      </c>
      <c r="I96" s="28">
        <v>67.222200000000001</v>
      </c>
      <c r="J96" s="28">
        <v>32.777799999999999</v>
      </c>
      <c r="K96" s="28">
        <v>70.476200000000006</v>
      </c>
      <c r="L96" s="28">
        <v>69</v>
      </c>
      <c r="M96" s="28">
        <v>100</v>
      </c>
      <c r="N96" s="28">
        <v>862.05115000000001</v>
      </c>
      <c r="O96" s="28">
        <v>107.5</v>
      </c>
      <c r="P96" s="28">
        <v>754.3</v>
      </c>
      <c r="Q96" s="28">
        <v>0.25114999999999998</v>
      </c>
      <c r="R96" s="28">
        <v>156.75197299999999</v>
      </c>
    </row>
    <row r="97" spans="1:18" x14ac:dyDescent="0.25">
      <c r="A97" t="s">
        <v>18</v>
      </c>
      <c r="B97">
        <v>300</v>
      </c>
      <c r="C97">
        <v>105</v>
      </c>
      <c r="D97">
        <v>4</v>
      </c>
      <c r="E97" s="28">
        <v>2.0000000000000002E-5</v>
      </c>
      <c r="F97" s="28">
        <v>94.333299999999994</v>
      </c>
      <c r="G97" s="28">
        <v>57.666699999999999</v>
      </c>
      <c r="H97" s="28">
        <v>0.61130798986148049</v>
      </c>
      <c r="I97" s="28">
        <v>73.988399999999999</v>
      </c>
      <c r="J97" s="28">
        <v>26.011600000000001</v>
      </c>
      <c r="K97" s="28">
        <v>73.333299999999994</v>
      </c>
      <c r="L97" s="28">
        <v>72</v>
      </c>
      <c r="M97" s="28">
        <v>100</v>
      </c>
      <c r="N97" s="28">
        <v>914.55196999999998</v>
      </c>
      <c r="O97" s="28">
        <v>107.5</v>
      </c>
      <c r="P97" s="28">
        <v>806.8</v>
      </c>
      <c r="Q97" s="28">
        <v>0.25197000000000003</v>
      </c>
      <c r="R97" s="28">
        <v>146.93368799999999</v>
      </c>
    </row>
    <row r="98" spans="1:18" x14ac:dyDescent="0.25">
      <c r="A98" t="s">
        <v>18</v>
      </c>
      <c r="B98">
        <v>300</v>
      </c>
      <c r="C98">
        <v>105</v>
      </c>
      <c r="D98">
        <v>4</v>
      </c>
      <c r="E98" s="28">
        <v>2.0000000000000002E-5</v>
      </c>
      <c r="F98" s="28">
        <v>94.333299999999994</v>
      </c>
      <c r="G98" s="28">
        <v>54.666699999999999</v>
      </c>
      <c r="H98" s="28">
        <v>0.57950585848263558</v>
      </c>
      <c r="I98" s="28">
        <v>69.512200000000007</v>
      </c>
      <c r="J98" s="28">
        <v>30.4878</v>
      </c>
      <c r="K98" s="28">
        <v>68.571399999999997</v>
      </c>
      <c r="L98" s="28">
        <v>67</v>
      </c>
      <c r="M98" s="28">
        <v>100</v>
      </c>
      <c r="N98" s="28">
        <v>964.24635999999998</v>
      </c>
      <c r="O98" s="28">
        <v>107.5</v>
      </c>
      <c r="P98" s="28">
        <v>856.5</v>
      </c>
      <c r="Q98" s="28">
        <v>0.24636</v>
      </c>
      <c r="R98" s="28">
        <v>154.40250399999999</v>
      </c>
    </row>
    <row r="99" spans="1:18" x14ac:dyDescent="0.25">
      <c r="A99" t="s">
        <v>18</v>
      </c>
      <c r="B99">
        <v>300</v>
      </c>
      <c r="C99">
        <v>105</v>
      </c>
      <c r="D99">
        <v>4</v>
      </c>
      <c r="E99" s="28">
        <v>1.9000000000000001E-5</v>
      </c>
      <c r="F99" s="28">
        <v>94.333299999999994</v>
      </c>
      <c r="G99" s="28">
        <v>55.333300000000001</v>
      </c>
      <c r="H99" s="28">
        <v>0.58657229207501493</v>
      </c>
      <c r="I99" s="28">
        <v>69.879499999999993</v>
      </c>
      <c r="J99" s="28">
        <v>30.1205</v>
      </c>
      <c r="K99" s="28">
        <v>69.523799999999994</v>
      </c>
      <c r="L99" s="28">
        <v>68</v>
      </c>
      <c r="M99" s="28">
        <v>100</v>
      </c>
      <c r="N99" s="28">
        <v>960.84775000000002</v>
      </c>
      <c r="O99" s="28">
        <v>107.5</v>
      </c>
      <c r="P99" s="28">
        <v>853.1</v>
      </c>
      <c r="Q99" s="28">
        <v>0.24775</v>
      </c>
      <c r="R99" s="28">
        <v>153.90218899999999</v>
      </c>
    </row>
    <row r="100" spans="1:18" x14ac:dyDescent="0.25">
      <c r="A100" t="s">
        <v>18</v>
      </c>
      <c r="B100">
        <v>300</v>
      </c>
      <c r="C100">
        <v>105</v>
      </c>
      <c r="D100">
        <v>4</v>
      </c>
      <c r="E100" s="28">
        <v>2.0000000000000002E-5</v>
      </c>
      <c r="F100" s="28">
        <v>94.333299999999994</v>
      </c>
      <c r="G100" s="28">
        <v>55.666699999999999</v>
      </c>
      <c r="H100" s="28">
        <v>0.59010656894225055</v>
      </c>
      <c r="I100" s="28">
        <v>69.461100000000002</v>
      </c>
      <c r="J100" s="28">
        <v>30.538900000000002</v>
      </c>
      <c r="K100" s="28">
        <v>70.476200000000006</v>
      </c>
      <c r="L100" s="28">
        <v>69</v>
      </c>
      <c r="M100" s="28">
        <v>100</v>
      </c>
      <c r="N100" s="28">
        <v>953.94809999999995</v>
      </c>
      <c r="O100" s="28">
        <v>107.5</v>
      </c>
      <c r="P100" s="28">
        <v>846.2</v>
      </c>
      <c r="Q100" s="28">
        <v>0.24809999999999999</v>
      </c>
      <c r="R100" s="28">
        <v>154.92288400000001</v>
      </c>
    </row>
    <row r="101" spans="1:18" x14ac:dyDescent="0.25">
      <c r="A101" t="s">
        <v>18</v>
      </c>
      <c r="B101">
        <v>300</v>
      </c>
      <c r="C101">
        <v>105</v>
      </c>
      <c r="D101">
        <v>4</v>
      </c>
      <c r="E101" s="28">
        <v>2.0000000000000002E-5</v>
      </c>
      <c r="F101" s="28">
        <v>94.333299999999994</v>
      </c>
      <c r="G101" s="28">
        <v>55.666699999999999</v>
      </c>
      <c r="H101" s="28">
        <v>0.59010656894225055</v>
      </c>
      <c r="I101" s="28">
        <v>71.856300000000005</v>
      </c>
      <c r="J101" s="28">
        <v>28.143699999999999</v>
      </c>
      <c r="K101" s="28">
        <v>68.571399999999997</v>
      </c>
      <c r="L101" s="28">
        <v>67</v>
      </c>
      <c r="M101" s="28">
        <v>100</v>
      </c>
      <c r="N101" s="28">
        <v>943.94645000000003</v>
      </c>
      <c r="O101" s="28">
        <v>107.5</v>
      </c>
      <c r="P101" s="28">
        <v>836.2</v>
      </c>
      <c r="Q101" s="28">
        <v>0.24645</v>
      </c>
      <c r="R101" s="28">
        <v>148.13478000000001</v>
      </c>
    </row>
    <row r="102" spans="1:18" x14ac:dyDescent="0.25">
      <c r="A102" t="s">
        <v>18</v>
      </c>
      <c r="B102">
        <v>300</v>
      </c>
      <c r="C102">
        <v>105</v>
      </c>
      <c r="D102">
        <v>4</v>
      </c>
      <c r="E102" s="28">
        <v>2.0000000000000002E-5</v>
      </c>
      <c r="F102" s="28">
        <v>94.333299999999994</v>
      </c>
      <c r="G102" s="28">
        <v>58</v>
      </c>
      <c r="H102" s="28">
        <v>0.61484120665767028</v>
      </c>
      <c r="I102" s="28">
        <v>70.114900000000006</v>
      </c>
      <c r="J102" s="28">
        <v>29.885100000000001</v>
      </c>
      <c r="K102" s="28">
        <v>71.428600000000003</v>
      </c>
      <c r="L102" s="28">
        <v>70</v>
      </c>
      <c r="M102" s="28">
        <v>100</v>
      </c>
      <c r="N102" s="28">
        <v>898.04957999999999</v>
      </c>
      <c r="O102" s="28">
        <v>107.5</v>
      </c>
      <c r="P102" s="28">
        <v>790.3</v>
      </c>
      <c r="Q102" s="28">
        <v>0.24958</v>
      </c>
      <c r="R102" s="28">
        <v>154.87738300000001</v>
      </c>
    </row>
    <row r="103" spans="1:18" x14ac:dyDescent="0.25">
      <c r="A103" t="s">
        <v>18</v>
      </c>
      <c r="B103">
        <v>300</v>
      </c>
      <c r="C103">
        <v>105</v>
      </c>
      <c r="D103">
        <v>4</v>
      </c>
      <c r="E103" s="28">
        <v>2.0000000000000002E-5</v>
      </c>
      <c r="F103" s="28">
        <v>94.333299999999994</v>
      </c>
      <c r="G103" s="28">
        <v>57.666699999999999</v>
      </c>
      <c r="H103" s="28">
        <v>0.61130798986148049</v>
      </c>
      <c r="I103" s="28">
        <v>69.364199999999997</v>
      </c>
      <c r="J103" s="28">
        <v>30.6358</v>
      </c>
      <c r="K103" s="28">
        <v>71.428600000000003</v>
      </c>
      <c r="L103" s="28">
        <v>70</v>
      </c>
      <c r="M103" s="28">
        <v>100</v>
      </c>
      <c r="N103" s="28">
        <v>888.94926999999996</v>
      </c>
      <c r="O103" s="28">
        <v>107.5</v>
      </c>
      <c r="P103" s="28">
        <v>781.2</v>
      </c>
      <c r="Q103" s="28">
        <v>0.24926999999999999</v>
      </c>
      <c r="R103" s="28">
        <v>156.251756</v>
      </c>
    </row>
    <row r="104" spans="1:18" x14ac:dyDescent="0.25">
      <c r="A104" t="s">
        <v>18</v>
      </c>
      <c r="B104">
        <v>300</v>
      </c>
      <c r="C104">
        <v>105</v>
      </c>
      <c r="D104">
        <v>4</v>
      </c>
      <c r="E104" s="28">
        <v>2.0000000000000002E-5</v>
      </c>
      <c r="F104" s="28">
        <v>94.333299999999994</v>
      </c>
      <c r="G104" s="28">
        <v>58.333300000000001</v>
      </c>
      <c r="H104" s="28">
        <v>0.61837442345385996</v>
      </c>
      <c r="I104" s="28">
        <v>70.857100000000003</v>
      </c>
      <c r="J104" s="28">
        <v>29.142900000000001</v>
      </c>
      <c r="K104" s="28">
        <v>68.571399999999997</v>
      </c>
      <c r="L104" s="28">
        <v>67</v>
      </c>
      <c r="M104" s="28">
        <v>100</v>
      </c>
      <c r="N104" s="28">
        <v>876.14783</v>
      </c>
      <c r="O104" s="28">
        <v>107.5</v>
      </c>
      <c r="P104" s="28">
        <v>768.4</v>
      </c>
      <c r="Q104" s="28">
        <v>0.24782999999999999</v>
      </c>
      <c r="R104" s="28">
        <v>153.10794000000001</v>
      </c>
    </row>
    <row r="105" spans="1:18" x14ac:dyDescent="0.25">
      <c r="A105" t="s">
        <v>18</v>
      </c>
      <c r="B105">
        <v>300</v>
      </c>
      <c r="C105">
        <v>105</v>
      </c>
      <c r="D105">
        <v>4</v>
      </c>
      <c r="E105" s="28">
        <v>2.0000000000000002E-5</v>
      </c>
      <c r="F105" s="28">
        <v>94.333299999999994</v>
      </c>
      <c r="G105" s="28">
        <v>51.333300000000001</v>
      </c>
      <c r="H105" s="28">
        <v>0.54416945023655494</v>
      </c>
      <c r="I105" s="28">
        <v>68.831199999999995</v>
      </c>
      <c r="J105" s="28">
        <v>31.168800000000001</v>
      </c>
      <c r="K105" s="28">
        <v>62.857100000000003</v>
      </c>
      <c r="L105" s="28">
        <v>61</v>
      </c>
      <c r="M105" s="28">
        <v>100</v>
      </c>
      <c r="N105" s="28">
        <v>1010.83778</v>
      </c>
      <c r="O105" s="28">
        <v>107.5</v>
      </c>
      <c r="P105" s="28">
        <v>903.1</v>
      </c>
      <c r="Q105" s="28">
        <v>0.23777999999999999</v>
      </c>
      <c r="R105" s="28">
        <v>156.79943900000001</v>
      </c>
    </row>
    <row r="106" spans="1:18" x14ac:dyDescent="0.25">
      <c r="A106" t="s">
        <v>18</v>
      </c>
      <c r="B106">
        <v>300</v>
      </c>
      <c r="C106">
        <v>105</v>
      </c>
      <c r="D106">
        <v>4</v>
      </c>
      <c r="E106" s="28">
        <v>1.9000000000000001E-5</v>
      </c>
      <c r="F106" s="28">
        <v>94.333299999999994</v>
      </c>
      <c r="G106" s="28">
        <v>53.666699999999999</v>
      </c>
      <c r="H106" s="28">
        <v>0.5689051480230205</v>
      </c>
      <c r="I106" s="28">
        <v>70.807500000000005</v>
      </c>
      <c r="J106" s="28">
        <v>29.192499999999999</v>
      </c>
      <c r="K106" s="28">
        <v>68.571399999999997</v>
      </c>
      <c r="L106" s="28">
        <v>67</v>
      </c>
      <c r="M106" s="28">
        <v>100</v>
      </c>
      <c r="N106" s="28">
        <v>974.34591999999998</v>
      </c>
      <c r="O106" s="28">
        <v>107.5</v>
      </c>
      <c r="P106" s="28">
        <v>866.6</v>
      </c>
      <c r="Q106" s="28">
        <v>0.24592</v>
      </c>
      <c r="R106" s="28">
        <v>153.48425700000001</v>
      </c>
    </row>
    <row r="107" spans="1:18" x14ac:dyDescent="0.25">
      <c r="A107" t="s">
        <v>18</v>
      </c>
      <c r="B107">
        <v>300</v>
      </c>
      <c r="C107">
        <v>105</v>
      </c>
      <c r="D107">
        <v>4</v>
      </c>
      <c r="E107" s="28">
        <v>2.0000000000000002E-5</v>
      </c>
      <c r="F107" s="28">
        <v>94.333299999999994</v>
      </c>
      <c r="G107" s="28">
        <v>55</v>
      </c>
      <c r="H107" s="28">
        <v>0.58303907527882526</v>
      </c>
      <c r="I107" s="28">
        <v>66.666700000000006</v>
      </c>
      <c r="J107" s="28">
        <v>33.333300000000001</v>
      </c>
      <c r="K107" s="28">
        <v>68.571399999999997</v>
      </c>
      <c r="L107" s="28">
        <v>67</v>
      </c>
      <c r="M107" s="28">
        <v>100</v>
      </c>
      <c r="N107" s="28">
        <v>970.14562000000001</v>
      </c>
      <c r="O107" s="28">
        <v>107.5</v>
      </c>
      <c r="P107" s="28">
        <v>862.4</v>
      </c>
      <c r="Q107" s="28">
        <v>0.24562</v>
      </c>
      <c r="R107" s="28">
        <v>156.35177100000001</v>
      </c>
    </row>
    <row r="108" spans="1:18" x14ac:dyDescent="0.25">
      <c r="A108" t="s">
        <v>18</v>
      </c>
      <c r="B108">
        <v>300</v>
      </c>
      <c r="C108">
        <v>105</v>
      </c>
      <c r="D108">
        <v>4</v>
      </c>
      <c r="E108" s="28">
        <v>2.0000000000000002E-5</v>
      </c>
      <c r="F108" s="28">
        <v>94.333299999999994</v>
      </c>
      <c r="G108" s="28">
        <v>54.333300000000001</v>
      </c>
      <c r="H108" s="28">
        <v>0.57597158161539996</v>
      </c>
      <c r="I108" s="28">
        <v>71.165599999999998</v>
      </c>
      <c r="J108" s="28">
        <v>28.834399999999999</v>
      </c>
      <c r="K108" s="28">
        <v>62.857100000000003</v>
      </c>
      <c r="L108" s="28">
        <v>61</v>
      </c>
      <c r="M108" s="28">
        <v>100</v>
      </c>
      <c r="N108" s="28">
        <v>971.73898999999994</v>
      </c>
      <c r="O108" s="28">
        <v>107.5</v>
      </c>
      <c r="P108" s="28">
        <v>864</v>
      </c>
      <c r="Q108" s="28">
        <v>0.23899000000000001</v>
      </c>
      <c r="R108" s="28">
        <v>152.00127900000001</v>
      </c>
    </row>
    <row r="109" spans="1:18" x14ac:dyDescent="0.25">
      <c r="A109" t="s">
        <v>18</v>
      </c>
      <c r="B109">
        <v>300</v>
      </c>
      <c r="C109">
        <v>105</v>
      </c>
      <c r="D109">
        <v>4</v>
      </c>
      <c r="E109" s="28">
        <v>1.9000000000000001E-5</v>
      </c>
      <c r="F109" s="28">
        <v>94.333299999999994</v>
      </c>
      <c r="G109" s="28">
        <v>52</v>
      </c>
      <c r="H109" s="28">
        <v>0.55123694389998024</v>
      </c>
      <c r="I109" s="28">
        <v>68.589699999999993</v>
      </c>
      <c r="J109" s="28">
        <v>31.410299999999999</v>
      </c>
      <c r="K109" s="28">
        <v>65.714299999999994</v>
      </c>
      <c r="L109" s="28">
        <v>64</v>
      </c>
      <c r="M109" s="28">
        <v>100</v>
      </c>
      <c r="N109" s="28">
        <v>1017.8425</v>
      </c>
      <c r="O109" s="28">
        <v>107.5</v>
      </c>
      <c r="P109" s="28">
        <v>910.1</v>
      </c>
      <c r="Q109" s="28">
        <v>0.24249999999999999</v>
      </c>
      <c r="R109" s="28">
        <v>153.50236799999999</v>
      </c>
    </row>
    <row r="110" spans="1:18" x14ac:dyDescent="0.25">
      <c r="A110" t="s">
        <v>18</v>
      </c>
      <c r="B110">
        <v>300</v>
      </c>
      <c r="C110">
        <v>105</v>
      </c>
      <c r="D110">
        <v>4</v>
      </c>
      <c r="E110" s="28">
        <v>1.9000000000000001E-5</v>
      </c>
      <c r="F110" s="28">
        <v>94.333299999999994</v>
      </c>
      <c r="G110" s="28">
        <v>54.666699999999999</v>
      </c>
      <c r="H110" s="28">
        <v>0.57950585848263558</v>
      </c>
      <c r="I110" s="28">
        <v>73.780500000000004</v>
      </c>
      <c r="J110" s="28">
        <v>26.2195</v>
      </c>
      <c r="K110" s="28">
        <v>67.619</v>
      </c>
      <c r="L110" s="28">
        <v>66</v>
      </c>
      <c r="M110" s="28">
        <v>100</v>
      </c>
      <c r="N110" s="28">
        <v>966.04526999999996</v>
      </c>
      <c r="O110" s="28">
        <v>107.5</v>
      </c>
      <c r="P110" s="28">
        <v>858.3</v>
      </c>
      <c r="Q110" s="28">
        <v>0.24526999999999999</v>
      </c>
      <c r="R110" s="28">
        <v>146.28791799999999</v>
      </c>
    </row>
    <row r="111" spans="1:18" x14ac:dyDescent="0.25">
      <c r="A111" t="s">
        <v>18</v>
      </c>
      <c r="B111">
        <v>300</v>
      </c>
      <c r="C111">
        <v>105</v>
      </c>
      <c r="D111">
        <v>4</v>
      </c>
      <c r="E111" s="28">
        <v>1.9000000000000001E-5</v>
      </c>
      <c r="F111" s="28">
        <v>94.333299999999994</v>
      </c>
      <c r="G111" s="28">
        <v>55</v>
      </c>
      <c r="H111" s="28">
        <v>0.58303907527882526</v>
      </c>
      <c r="I111" s="28">
        <v>73.939400000000006</v>
      </c>
      <c r="J111" s="28">
        <v>26.060600000000001</v>
      </c>
      <c r="K111" s="28">
        <v>70.476200000000006</v>
      </c>
      <c r="L111" s="28">
        <v>69</v>
      </c>
      <c r="M111" s="28">
        <v>100</v>
      </c>
      <c r="N111" s="28">
        <v>970.74923999999999</v>
      </c>
      <c r="O111" s="28">
        <v>107.5</v>
      </c>
      <c r="P111" s="28">
        <v>863</v>
      </c>
      <c r="Q111" s="28">
        <v>0.24923999999999999</v>
      </c>
      <c r="R111" s="28">
        <v>147.03872000000001</v>
      </c>
    </row>
    <row r="112" spans="1:18" x14ac:dyDescent="0.25">
      <c r="A112" t="s">
        <v>18</v>
      </c>
      <c r="B112">
        <v>300</v>
      </c>
      <c r="C112">
        <v>105</v>
      </c>
      <c r="D112">
        <v>4</v>
      </c>
      <c r="E112" s="28">
        <v>1.9000000000000001E-5</v>
      </c>
      <c r="F112" s="28">
        <v>94.333299999999994</v>
      </c>
      <c r="G112" s="28">
        <v>53</v>
      </c>
      <c r="H112" s="28">
        <v>0.56183765435959521</v>
      </c>
      <c r="I112" s="28">
        <v>72.956000000000003</v>
      </c>
      <c r="J112" s="28">
        <v>27.044</v>
      </c>
      <c r="K112" s="28">
        <v>72.381</v>
      </c>
      <c r="L112" s="28">
        <v>71</v>
      </c>
      <c r="M112" s="28">
        <v>100</v>
      </c>
      <c r="N112" s="28">
        <v>997.15137000000004</v>
      </c>
      <c r="O112" s="28">
        <v>107.5</v>
      </c>
      <c r="P112" s="28">
        <v>889.4</v>
      </c>
      <c r="Q112" s="28">
        <v>0.25136999999999998</v>
      </c>
      <c r="R112" s="28">
        <v>149.90574000000001</v>
      </c>
    </row>
    <row r="113" spans="1:18" x14ac:dyDescent="0.25">
      <c r="A113" t="s">
        <v>18</v>
      </c>
      <c r="B113">
        <v>300</v>
      </c>
      <c r="C113">
        <v>105</v>
      </c>
      <c r="D113">
        <v>4</v>
      </c>
      <c r="E113" s="28">
        <v>2.0000000000000002E-5</v>
      </c>
      <c r="F113" s="28">
        <v>94.333299999999994</v>
      </c>
      <c r="G113" s="28">
        <v>54.333300000000001</v>
      </c>
      <c r="H113" s="28">
        <v>0.57597158161539996</v>
      </c>
      <c r="I113" s="28">
        <v>71.7791</v>
      </c>
      <c r="J113" s="28">
        <v>28.2209</v>
      </c>
      <c r="K113" s="28">
        <v>71.428600000000003</v>
      </c>
      <c r="L113" s="28">
        <v>70</v>
      </c>
      <c r="M113" s="28">
        <v>100</v>
      </c>
      <c r="N113" s="28">
        <v>957.54961000000003</v>
      </c>
      <c r="O113" s="28">
        <v>107.5</v>
      </c>
      <c r="P113" s="28">
        <v>849.8</v>
      </c>
      <c r="Q113" s="28">
        <v>0.24961</v>
      </c>
      <c r="R113" s="28">
        <v>151.81581199999999</v>
      </c>
    </row>
    <row r="114" spans="1:18" x14ac:dyDescent="0.25">
      <c r="A114" t="s">
        <v>18</v>
      </c>
      <c r="B114">
        <v>300</v>
      </c>
      <c r="C114">
        <v>105</v>
      </c>
      <c r="D114">
        <v>4</v>
      </c>
      <c r="E114" s="28">
        <v>2.0000000000000002E-5</v>
      </c>
      <c r="F114" s="28">
        <v>94.333299999999994</v>
      </c>
      <c r="G114" s="28">
        <v>56</v>
      </c>
      <c r="H114" s="28">
        <v>0.59363978573844023</v>
      </c>
      <c r="I114" s="28">
        <v>68.452399999999997</v>
      </c>
      <c r="J114" s="28">
        <v>31.547599999999999</v>
      </c>
      <c r="K114" s="28">
        <v>65.714299999999994</v>
      </c>
      <c r="L114" s="28">
        <v>64</v>
      </c>
      <c r="M114" s="28">
        <v>100</v>
      </c>
      <c r="N114" s="28">
        <v>917.24305000000004</v>
      </c>
      <c r="O114" s="28">
        <v>107.5</v>
      </c>
      <c r="P114" s="28">
        <v>809.5</v>
      </c>
      <c r="Q114" s="28">
        <v>0.24304999999999999</v>
      </c>
      <c r="R114" s="28">
        <v>156.18969000000001</v>
      </c>
    </row>
    <row r="115" spans="1:18" x14ac:dyDescent="0.25">
      <c r="A115" t="s">
        <v>18</v>
      </c>
      <c r="B115">
        <v>300</v>
      </c>
      <c r="C115">
        <v>105</v>
      </c>
      <c r="D115">
        <v>4</v>
      </c>
      <c r="E115" s="28">
        <v>2.0000000000000002E-5</v>
      </c>
      <c r="F115" s="28">
        <v>94.333299999999994</v>
      </c>
      <c r="G115" s="28">
        <v>56</v>
      </c>
      <c r="H115" s="28">
        <v>0.59363978573844023</v>
      </c>
      <c r="I115" s="28">
        <v>69.642899999999997</v>
      </c>
      <c r="J115" s="28">
        <v>30.357099999999999</v>
      </c>
      <c r="K115" s="28">
        <v>74.285700000000006</v>
      </c>
      <c r="L115" s="28">
        <v>73</v>
      </c>
      <c r="M115" s="28">
        <v>100</v>
      </c>
      <c r="N115" s="28">
        <v>939.45258000000001</v>
      </c>
      <c r="O115" s="28">
        <v>107.5</v>
      </c>
      <c r="P115" s="28">
        <v>831.7</v>
      </c>
      <c r="Q115" s="28">
        <v>0.25258000000000003</v>
      </c>
      <c r="R115" s="28">
        <v>152.91480799999999</v>
      </c>
    </row>
    <row r="116" spans="1:18" x14ac:dyDescent="0.25">
      <c r="A116" t="s">
        <v>18</v>
      </c>
      <c r="B116">
        <v>300</v>
      </c>
      <c r="C116">
        <v>105</v>
      </c>
      <c r="D116">
        <v>4</v>
      </c>
      <c r="E116" s="28">
        <v>2.0000000000000002E-5</v>
      </c>
      <c r="F116" s="28">
        <v>94.333299999999994</v>
      </c>
      <c r="G116" s="28">
        <v>59</v>
      </c>
      <c r="H116" s="28">
        <v>0.62544191711728525</v>
      </c>
      <c r="I116" s="28">
        <v>68.361599999999996</v>
      </c>
      <c r="J116" s="28">
        <v>31.638400000000001</v>
      </c>
      <c r="K116" s="28">
        <v>68.571399999999997</v>
      </c>
      <c r="L116" s="28">
        <v>67</v>
      </c>
      <c r="M116" s="28">
        <v>100</v>
      </c>
      <c r="N116" s="28">
        <v>869.94683999999995</v>
      </c>
      <c r="O116" s="28">
        <v>107.5</v>
      </c>
      <c r="P116" s="28">
        <v>762.2</v>
      </c>
      <c r="Q116" s="28">
        <v>0.24684</v>
      </c>
      <c r="R116" s="28">
        <v>158.08655300000001</v>
      </c>
    </row>
    <row r="117" spans="1:18" x14ac:dyDescent="0.25">
      <c r="A117" t="s">
        <v>18</v>
      </c>
      <c r="B117">
        <v>300</v>
      </c>
      <c r="C117">
        <v>105</v>
      </c>
      <c r="D117">
        <v>4</v>
      </c>
      <c r="E117" s="28">
        <v>2.0000000000000002E-5</v>
      </c>
      <c r="F117" s="28">
        <v>94.333299999999994</v>
      </c>
      <c r="G117" s="28">
        <v>55.666699999999999</v>
      </c>
      <c r="H117" s="28">
        <v>0.59010656894225055</v>
      </c>
      <c r="I117" s="28">
        <v>71.856300000000005</v>
      </c>
      <c r="J117" s="28">
        <v>28.143699999999999</v>
      </c>
      <c r="K117" s="28">
        <v>69.523799999999994</v>
      </c>
      <c r="L117" s="28">
        <v>68</v>
      </c>
      <c r="M117" s="28">
        <v>100</v>
      </c>
      <c r="N117" s="28">
        <v>944.54681000000005</v>
      </c>
      <c r="O117" s="28">
        <v>107.5</v>
      </c>
      <c r="P117" s="28">
        <v>836.8</v>
      </c>
      <c r="Q117" s="28">
        <v>0.24681</v>
      </c>
      <c r="R117" s="28">
        <v>149.74480700000001</v>
      </c>
    </row>
    <row r="118" spans="1:18" x14ac:dyDescent="0.25">
      <c r="A118" t="s">
        <v>18</v>
      </c>
      <c r="B118">
        <v>300</v>
      </c>
      <c r="C118">
        <v>105</v>
      </c>
      <c r="D118">
        <v>4</v>
      </c>
      <c r="E118" s="28">
        <v>1.9000000000000001E-5</v>
      </c>
      <c r="F118" s="28">
        <v>94.333299999999994</v>
      </c>
      <c r="G118" s="28">
        <v>54</v>
      </c>
      <c r="H118" s="28">
        <v>0.57243836481921018</v>
      </c>
      <c r="I118" s="28">
        <v>73.456800000000001</v>
      </c>
      <c r="J118" s="28">
        <v>26.543199999999999</v>
      </c>
      <c r="K118" s="28">
        <v>74.285700000000006</v>
      </c>
      <c r="L118" s="28">
        <v>73</v>
      </c>
      <c r="M118" s="28">
        <v>100</v>
      </c>
      <c r="N118" s="28">
        <v>968.05344000000002</v>
      </c>
      <c r="O118" s="28">
        <v>107.5</v>
      </c>
      <c r="P118" s="28">
        <v>860.3</v>
      </c>
      <c r="Q118" s="28">
        <v>0.25344</v>
      </c>
      <c r="R118" s="28">
        <v>146.965622</v>
      </c>
    </row>
    <row r="119" spans="1:18" x14ac:dyDescent="0.25">
      <c r="A119" t="s">
        <v>18</v>
      </c>
      <c r="B119">
        <v>300</v>
      </c>
      <c r="C119">
        <v>105</v>
      </c>
      <c r="D119">
        <v>4</v>
      </c>
      <c r="E119" s="28">
        <v>3.0000000000000001E-5</v>
      </c>
      <c r="F119" s="28">
        <v>94.333299999999994</v>
      </c>
      <c r="G119" s="28">
        <v>55.666699999999999</v>
      </c>
      <c r="H119" s="28">
        <v>0.59010656894225055</v>
      </c>
      <c r="I119" s="28">
        <v>72.455100000000002</v>
      </c>
      <c r="J119" s="28">
        <v>27.544899999999998</v>
      </c>
      <c r="K119" s="28">
        <v>68.571399999999997</v>
      </c>
      <c r="L119" s="28">
        <v>67</v>
      </c>
      <c r="M119" s="28">
        <v>100</v>
      </c>
      <c r="N119" s="28">
        <v>962.54435000000001</v>
      </c>
      <c r="O119" s="28">
        <v>107.5</v>
      </c>
      <c r="P119" s="28">
        <v>854.8</v>
      </c>
      <c r="Q119" s="28">
        <v>0.24435000000000001</v>
      </c>
      <c r="R119" s="28">
        <v>148.45425599999999</v>
      </c>
    </row>
    <row r="120" spans="1:18" x14ac:dyDescent="0.25">
      <c r="A120" t="s">
        <v>18</v>
      </c>
      <c r="B120">
        <v>300</v>
      </c>
      <c r="C120">
        <v>105</v>
      </c>
      <c r="D120">
        <v>4</v>
      </c>
      <c r="E120" s="28">
        <v>2.0000000000000002E-5</v>
      </c>
      <c r="F120" s="28">
        <v>94.333299999999994</v>
      </c>
      <c r="G120" s="28">
        <v>54.333300000000001</v>
      </c>
      <c r="H120" s="28">
        <v>0.57597158161539996</v>
      </c>
      <c r="I120" s="28">
        <v>74.233099999999993</v>
      </c>
      <c r="J120" s="28">
        <v>25.7669</v>
      </c>
      <c r="K120" s="28">
        <v>68.571399999999997</v>
      </c>
      <c r="L120" s="28">
        <v>67</v>
      </c>
      <c r="M120" s="28">
        <v>100</v>
      </c>
      <c r="N120" s="28">
        <v>965.14754000000005</v>
      </c>
      <c r="O120" s="28">
        <v>107.5</v>
      </c>
      <c r="P120" s="28">
        <v>857.4</v>
      </c>
      <c r="Q120" s="28">
        <v>0.24754000000000001</v>
      </c>
      <c r="R120" s="28">
        <v>146.31911700000001</v>
      </c>
    </row>
    <row r="121" spans="1:18" x14ac:dyDescent="0.25">
      <c r="A121" t="s">
        <v>18</v>
      </c>
      <c r="B121">
        <v>300</v>
      </c>
      <c r="C121">
        <v>105</v>
      </c>
      <c r="D121">
        <v>4</v>
      </c>
      <c r="E121" s="28">
        <v>2.0999999999999999E-5</v>
      </c>
      <c r="F121" s="28">
        <v>94.333299999999994</v>
      </c>
      <c r="G121" s="28">
        <v>56.666699999999999</v>
      </c>
      <c r="H121" s="28">
        <v>0.60070727940186552</v>
      </c>
      <c r="I121" s="28">
        <v>65.882400000000004</v>
      </c>
      <c r="J121" s="28">
        <v>34.117600000000003</v>
      </c>
      <c r="K121" s="28">
        <v>64.761899999999997</v>
      </c>
      <c r="L121" s="28">
        <v>63</v>
      </c>
      <c r="M121" s="28">
        <v>100</v>
      </c>
      <c r="N121" s="28">
        <v>919.44119999999998</v>
      </c>
      <c r="O121" s="28">
        <v>107.5</v>
      </c>
      <c r="P121" s="28">
        <v>811.7</v>
      </c>
      <c r="Q121" s="28">
        <v>0.2412</v>
      </c>
      <c r="R121" s="28">
        <v>159.66646</v>
      </c>
    </row>
    <row r="122" spans="1:18" x14ac:dyDescent="0.25">
      <c r="A122" t="s">
        <v>18</v>
      </c>
      <c r="B122">
        <v>300</v>
      </c>
      <c r="C122">
        <v>105</v>
      </c>
      <c r="D122">
        <v>4</v>
      </c>
      <c r="E122" s="28">
        <v>2.0000000000000002E-5</v>
      </c>
      <c r="F122" s="28">
        <v>94.333299999999994</v>
      </c>
      <c r="G122" s="28">
        <v>53.333300000000001</v>
      </c>
      <c r="H122" s="28">
        <v>0.56537087115578488</v>
      </c>
      <c r="I122" s="28">
        <v>68.125</v>
      </c>
      <c r="J122" s="28">
        <v>31.875</v>
      </c>
      <c r="K122" s="28">
        <v>67.619</v>
      </c>
      <c r="L122" s="28">
        <v>66</v>
      </c>
      <c r="M122" s="28">
        <v>100</v>
      </c>
      <c r="N122" s="28">
        <v>988.24397999999997</v>
      </c>
      <c r="O122" s="28">
        <v>107.5</v>
      </c>
      <c r="P122" s="28">
        <v>880.5</v>
      </c>
      <c r="Q122" s="28">
        <v>0.24398</v>
      </c>
      <c r="R122" s="28">
        <v>155.33277699999999</v>
      </c>
    </row>
    <row r="123" spans="1:18" x14ac:dyDescent="0.25">
      <c r="A123" t="s">
        <v>18</v>
      </c>
      <c r="B123">
        <v>300</v>
      </c>
      <c r="C123">
        <v>105</v>
      </c>
      <c r="D123">
        <v>4</v>
      </c>
      <c r="E123" s="28">
        <v>2.0999999999999999E-5</v>
      </c>
      <c r="F123" s="28">
        <v>94.333299999999994</v>
      </c>
      <c r="G123" s="28">
        <v>56.666699999999999</v>
      </c>
      <c r="H123" s="28">
        <v>0.60070727940186552</v>
      </c>
      <c r="I123" s="28">
        <v>68.235299999999995</v>
      </c>
      <c r="J123" s="28">
        <v>31.764700000000001</v>
      </c>
      <c r="K123" s="28">
        <v>72.381</v>
      </c>
      <c r="L123" s="28">
        <v>71</v>
      </c>
      <c r="M123" s="28">
        <v>100</v>
      </c>
      <c r="N123" s="28">
        <v>919.04903999999999</v>
      </c>
      <c r="O123" s="28">
        <v>107.5</v>
      </c>
      <c r="P123" s="28">
        <v>811.3</v>
      </c>
      <c r="Q123" s="28">
        <v>0.24904000000000001</v>
      </c>
      <c r="R123" s="28">
        <v>156.888778</v>
      </c>
    </row>
    <row r="124" spans="1:18" x14ac:dyDescent="0.25">
      <c r="A124" t="s">
        <v>18</v>
      </c>
      <c r="B124">
        <v>300</v>
      </c>
      <c r="C124">
        <v>105</v>
      </c>
      <c r="D124">
        <v>4</v>
      </c>
      <c r="E124" s="28">
        <v>2.0000000000000002E-5</v>
      </c>
      <c r="F124" s="28">
        <v>94.333299999999994</v>
      </c>
      <c r="G124" s="28">
        <v>57</v>
      </c>
      <c r="H124" s="28">
        <v>0.6042404961980552</v>
      </c>
      <c r="I124" s="28">
        <v>73.099400000000003</v>
      </c>
      <c r="J124" s="28">
        <v>26.900600000000001</v>
      </c>
      <c r="K124" s="28">
        <v>70.476200000000006</v>
      </c>
      <c r="L124" s="28">
        <v>69</v>
      </c>
      <c r="M124" s="28">
        <v>100</v>
      </c>
      <c r="N124" s="28">
        <v>929.14684999999997</v>
      </c>
      <c r="O124" s="28">
        <v>107.5</v>
      </c>
      <c r="P124" s="28">
        <v>821.4</v>
      </c>
      <c r="Q124" s="28">
        <v>0.24685000000000001</v>
      </c>
      <c r="R124" s="28">
        <v>147.90693999999999</v>
      </c>
    </row>
    <row r="125" spans="1:18" x14ac:dyDescent="0.25">
      <c r="A125" t="s">
        <v>18</v>
      </c>
      <c r="B125">
        <v>400</v>
      </c>
      <c r="C125">
        <v>105</v>
      </c>
      <c r="D125">
        <v>4</v>
      </c>
      <c r="E125" s="28">
        <v>2.5999999999999998E-5</v>
      </c>
      <c r="F125" s="28">
        <v>92.25</v>
      </c>
      <c r="G125" s="28">
        <v>48.75</v>
      </c>
      <c r="H125" s="28">
        <v>0.52845528455284552</v>
      </c>
      <c r="I125" s="28">
        <v>66.666700000000006</v>
      </c>
      <c r="J125" s="28">
        <v>33.333300000000001</v>
      </c>
      <c r="K125" s="28">
        <v>74.285700000000006</v>
      </c>
      <c r="L125" s="28">
        <v>73</v>
      </c>
      <c r="M125" s="28">
        <v>100</v>
      </c>
      <c r="N125" s="28">
        <v>1448.5521000000001</v>
      </c>
      <c r="O125" s="28">
        <v>208.1</v>
      </c>
      <c r="P125" s="28">
        <v>1240.2</v>
      </c>
      <c r="Q125" s="28">
        <v>0.25209999999999999</v>
      </c>
      <c r="R125" s="28">
        <v>157.908491</v>
      </c>
    </row>
    <row r="126" spans="1:18" x14ac:dyDescent="0.25">
      <c r="A126" t="s">
        <v>18</v>
      </c>
      <c r="B126">
        <v>400</v>
      </c>
      <c r="C126">
        <v>105</v>
      </c>
      <c r="D126">
        <v>4</v>
      </c>
      <c r="E126" s="28">
        <v>2.4000000000000001E-5</v>
      </c>
      <c r="F126" s="28">
        <v>92.25</v>
      </c>
      <c r="G126" s="28">
        <v>46.5</v>
      </c>
      <c r="H126" s="28">
        <v>0.50406504065040647</v>
      </c>
      <c r="I126" s="28">
        <v>68.8172</v>
      </c>
      <c r="J126" s="28">
        <v>31.1828</v>
      </c>
      <c r="K126" s="28">
        <v>69.523799999999994</v>
      </c>
      <c r="L126" s="28">
        <v>68</v>
      </c>
      <c r="M126" s="28">
        <v>100</v>
      </c>
      <c r="N126" s="28">
        <v>1508.4477199999999</v>
      </c>
      <c r="O126" s="28">
        <v>208.1</v>
      </c>
      <c r="P126" s="28">
        <v>1300.0999999999999</v>
      </c>
      <c r="Q126" s="28">
        <v>0.24772</v>
      </c>
      <c r="R126" s="28">
        <v>156.807242</v>
      </c>
    </row>
    <row r="127" spans="1:18" x14ac:dyDescent="0.25">
      <c r="A127" t="s">
        <v>18</v>
      </c>
      <c r="B127">
        <v>400</v>
      </c>
      <c r="C127">
        <v>105</v>
      </c>
      <c r="D127">
        <v>4</v>
      </c>
      <c r="E127" s="28">
        <v>2.5000000000000001E-5</v>
      </c>
      <c r="F127" s="28">
        <v>92.25</v>
      </c>
      <c r="G127" s="28">
        <v>50</v>
      </c>
      <c r="H127" s="28">
        <v>0.54200542005420049</v>
      </c>
      <c r="I127" s="28">
        <v>69.5</v>
      </c>
      <c r="J127" s="28">
        <v>30.5</v>
      </c>
      <c r="K127" s="28">
        <v>73.333299999999994</v>
      </c>
      <c r="L127" s="28">
        <v>72</v>
      </c>
      <c r="M127" s="28">
        <v>100</v>
      </c>
      <c r="N127" s="28">
        <v>1419.05251</v>
      </c>
      <c r="O127" s="28">
        <v>208.1</v>
      </c>
      <c r="P127" s="28">
        <v>1210.7</v>
      </c>
      <c r="Q127" s="28">
        <v>0.25251000000000001</v>
      </c>
      <c r="R127" s="28">
        <v>151.74966800000001</v>
      </c>
    </row>
    <row r="128" spans="1:18" x14ac:dyDescent="0.25">
      <c r="A128" t="s">
        <v>18</v>
      </c>
      <c r="B128">
        <v>400</v>
      </c>
      <c r="C128">
        <v>105</v>
      </c>
      <c r="D128">
        <v>4</v>
      </c>
      <c r="E128" s="28">
        <v>2.5999999999999998E-5</v>
      </c>
      <c r="F128" s="28">
        <v>92.25</v>
      </c>
      <c r="G128" s="28">
        <v>50.75</v>
      </c>
      <c r="H128" s="28">
        <v>0.55013550135501355</v>
      </c>
      <c r="I128" s="28">
        <v>69.950699999999998</v>
      </c>
      <c r="J128" s="28">
        <v>30.049299999999999</v>
      </c>
      <c r="K128" s="28">
        <v>79.047600000000003</v>
      </c>
      <c r="L128" s="28">
        <v>78</v>
      </c>
      <c r="M128" s="28">
        <v>100</v>
      </c>
      <c r="N128" s="28">
        <v>1421.1582800000001</v>
      </c>
      <c r="O128" s="28">
        <v>208.1</v>
      </c>
      <c r="P128" s="28">
        <v>1212.8</v>
      </c>
      <c r="Q128" s="28">
        <v>0.25828000000000001</v>
      </c>
      <c r="R128" s="28">
        <v>150.44513000000001</v>
      </c>
    </row>
    <row r="129" spans="1:18" x14ac:dyDescent="0.25">
      <c r="A129" t="s">
        <v>18</v>
      </c>
      <c r="B129">
        <v>400</v>
      </c>
      <c r="C129">
        <v>105</v>
      </c>
      <c r="D129">
        <v>4</v>
      </c>
      <c r="E129" s="28">
        <v>2.5000000000000001E-5</v>
      </c>
      <c r="F129" s="28">
        <v>92.25</v>
      </c>
      <c r="G129" s="28">
        <v>48.75</v>
      </c>
      <c r="H129" s="28">
        <v>0.52845528455284552</v>
      </c>
      <c r="I129" s="28">
        <v>65.128200000000007</v>
      </c>
      <c r="J129" s="28">
        <v>34.8718</v>
      </c>
      <c r="K129" s="28">
        <v>74.285700000000006</v>
      </c>
      <c r="L129" s="28">
        <v>73</v>
      </c>
      <c r="M129" s="28">
        <v>100</v>
      </c>
      <c r="N129" s="28">
        <v>1432.9525900000001</v>
      </c>
      <c r="O129" s="28">
        <v>208.1</v>
      </c>
      <c r="P129" s="28">
        <v>1224.5999999999999</v>
      </c>
      <c r="Q129" s="28">
        <v>0.25258999999999998</v>
      </c>
      <c r="R129" s="28">
        <v>161.01709399999999</v>
      </c>
    </row>
    <row r="130" spans="1:18" x14ac:dyDescent="0.25">
      <c r="A130" t="s">
        <v>18</v>
      </c>
      <c r="B130">
        <v>400</v>
      </c>
      <c r="C130">
        <v>105</v>
      </c>
      <c r="D130">
        <v>4</v>
      </c>
      <c r="E130" s="28">
        <v>2.5000000000000001E-5</v>
      </c>
      <c r="F130" s="28">
        <v>92.25</v>
      </c>
      <c r="G130" s="28">
        <v>47</v>
      </c>
      <c r="H130" s="28">
        <v>0.50948509485094851</v>
      </c>
      <c r="I130" s="28">
        <v>61.702100000000002</v>
      </c>
      <c r="J130" s="28">
        <v>38.297899999999998</v>
      </c>
      <c r="K130" s="28">
        <v>69.523799999999994</v>
      </c>
      <c r="L130" s="28">
        <v>68</v>
      </c>
      <c r="M130" s="28">
        <v>100</v>
      </c>
      <c r="N130" s="28">
        <v>1499.8473100000001</v>
      </c>
      <c r="O130" s="28">
        <v>208.1</v>
      </c>
      <c r="P130" s="28">
        <v>1291.5</v>
      </c>
      <c r="Q130" s="28">
        <v>0.24731</v>
      </c>
      <c r="R130" s="28">
        <v>164.65732299999999</v>
      </c>
    </row>
    <row r="131" spans="1:18" x14ac:dyDescent="0.25">
      <c r="A131" t="s">
        <v>18</v>
      </c>
      <c r="B131">
        <v>400</v>
      </c>
      <c r="C131">
        <v>105</v>
      </c>
      <c r="D131">
        <v>4</v>
      </c>
      <c r="E131" s="28">
        <v>2.5000000000000001E-5</v>
      </c>
      <c r="F131" s="28">
        <v>92.25</v>
      </c>
      <c r="G131" s="28">
        <v>50.5</v>
      </c>
      <c r="H131" s="28">
        <v>0.54742547425474253</v>
      </c>
      <c r="I131" s="28">
        <v>64.851500000000001</v>
      </c>
      <c r="J131" s="28">
        <v>35.148499999999999</v>
      </c>
      <c r="K131" s="28">
        <v>75.238100000000003</v>
      </c>
      <c r="L131" s="28">
        <v>74</v>
      </c>
      <c r="M131" s="28">
        <v>100</v>
      </c>
      <c r="N131" s="28">
        <v>1374.45469</v>
      </c>
      <c r="O131" s="28">
        <v>208.1</v>
      </c>
      <c r="P131" s="28">
        <v>1166.0999999999999</v>
      </c>
      <c r="Q131" s="28">
        <v>0.25469000000000003</v>
      </c>
      <c r="R131" s="28">
        <v>162.31901099999999</v>
      </c>
    </row>
    <row r="132" spans="1:18" x14ac:dyDescent="0.25">
      <c r="A132" t="s">
        <v>18</v>
      </c>
      <c r="B132">
        <v>400</v>
      </c>
      <c r="C132">
        <v>105</v>
      </c>
      <c r="D132">
        <v>4</v>
      </c>
      <c r="E132" s="28">
        <v>2.5999999999999998E-5</v>
      </c>
      <c r="F132" s="28">
        <v>92.25</v>
      </c>
      <c r="G132" s="28">
        <v>49.75</v>
      </c>
      <c r="H132" s="28">
        <v>0.53929539295392959</v>
      </c>
      <c r="I132" s="28">
        <v>67.336699999999993</v>
      </c>
      <c r="J132" s="28">
        <v>32.6633</v>
      </c>
      <c r="K132" s="28">
        <v>72.381</v>
      </c>
      <c r="L132" s="28">
        <v>71</v>
      </c>
      <c r="M132" s="28">
        <v>100</v>
      </c>
      <c r="N132" s="28">
        <v>1417.1517100000001</v>
      </c>
      <c r="O132" s="28">
        <v>208.1</v>
      </c>
      <c r="P132" s="28">
        <v>1208.8</v>
      </c>
      <c r="Q132" s="28">
        <v>0.25170999999999999</v>
      </c>
      <c r="R132" s="28">
        <v>156.55097599999999</v>
      </c>
    </row>
    <row r="133" spans="1:18" x14ac:dyDescent="0.25">
      <c r="A133" t="s">
        <v>18</v>
      </c>
      <c r="B133">
        <v>400</v>
      </c>
      <c r="C133">
        <v>105</v>
      </c>
      <c r="D133">
        <v>4</v>
      </c>
      <c r="E133" s="28">
        <v>2.5000000000000001E-5</v>
      </c>
      <c r="F133" s="28">
        <v>92.25</v>
      </c>
      <c r="G133" s="28">
        <v>48.75</v>
      </c>
      <c r="H133" s="28">
        <v>0.52845528455284552</v>
      </c>
      <c r="I133" s="28">
        <v>69.743600000000001</v>
      </c>
      <c r="J133" s="28">
        <v>30.256399999999999</v>
      </c>
      <c r="K133" s="28">
        <v>74.285700000000006</v>
      </c>
      <c r="L133" s="28">
        <v>73</v>
      </c>
      <c r="M133" s="28">
        <v>100</v>
      </c>
      <c r="N133" s="28">
        <v>1440.9534799999999</v>
      </c>
      <c r="O133" s="28">
        <v>208.1</v>
      </c>
      <c r="P133" s="28">
        <v>1232.5999999999999</v>
      </c>
      <c r="Q133" s="28">
        <v>0.25347999999999998</v>
      </c>
      <c r="R133" s="28">
        <v>153.098142</v>
      </c>
    </row>
    <row r="134" spans="1:18" x14ac:dyDescent="0.25">
      <c r="A134" t="s">
        <v>18</v>
      </c>
      <c r="B134">
        <v>400</v>
      </c>
      <c r="C134">
        <v>105</v>
      </c>
      <c r="D134">
        <v>4</v>
      </c>
      <c r="E134" s="28">
        <v>2.5999999999999998E-5</v>
      </c>
      <c r="F134" s="28">
        <v>92.25</v>
      </c>
      <c r="G134" s="28">
        <v>50.75</v>
      </c>
      <c r="H134" s="28">
        <v>0.55013550135501355</v>
      </c>
      <c r="I134" s="28">
        <v>70.936000000000007</v>
      </c>
      <c r="J134" s="28">
        <v>29.064</v>
      </c>
      <c r="K134" s="28">
        <v>77.142899999999997</v>
      </c>
      <c r="L134" s="28">
        <v>76</v>
      </c>
      <c r="M134" s="28">
        <v>100</v>
      </c>
      <c r="N134" s="28">
        <v>1419.7568000000001</v>
      </c>
      <c r="O134" s="28">
        <v>208.1</v>
      </c>
      <c r="P134" s="28">
        <v>1211.4000000000001</v>
      </c>
      <c r="Q134" s="28">
        <v>0.25679999999999997</v>
      </c>
      <c r="R134" s="28">
        <v>149.414964</v>
      </c>
    </row>
    <row r="135" spans="1:18" x14ac:dyDescent="0.25">
      <c r="A135" t="s">
        <v>18</v>
      </c>
      <c r="B135">
        <v>400</v>
      </c>
      <c r="C135">
        <v>105</v>
      </c>
      <c r="D135">
        <v>4</v>
      </c>
      <c r="E135" s="28">
        <v>2.5999999999999998E-5</v>
      </c>
      <c r="F135" s="28">
        <v>92.25</v>
      </c>
      <c r="G135" s="28">
        <v>51</v>
      </c>
      <c r="H135" s="28">
        <v>0.55284552845528456</v>
      </c>
      <c r="I135" s="28">
        <v>68.137299999999996</v>
      </c>
      <c r="J135" s="28">
        <v>31.8627</v>
      </c>
      <c r="K135" s="28">
        <v>78.095200000000006</v>
      </c>
      <c r="L135" s="28">
        <v>77</v>
      </c>
      <c r="M135" s="28">
        <v>100</v>
      </c>
      <c r="N135" s="28">
        <v>1375.6572200000001</v>
      </c>
      <c r="O135" s="28">
        <v>208.1</v>
      </c>
      <c r="P135" s="28">
        <v>1167.3</v>
      </c>
      <c r="Q135" s="28">
        <v>0.25722</v>
      </c>
      <c r="R135" s="28">
        <v>158.738753</v>
      </c>
    </row>
    <row r="136" spans="1:18" x14ac:dyDescent="0.25">
      <c r="A136" t="s">
        <v>18</v>
      </c>
      <c r="B136">
        <v>400</v>
      </c>
      <c r="C136">
        <v>105</v>
      </c>
      <c r="D136">
        <v>4</v>
      </c>
      <c r="E136" s="28">
        <v>2.5999999999999998E-5</v>
      </c>
      <c r="F136" s="28">
        <v>92.25</v>
      </c>
      <c r="G136" s="28">
        <v>49.75</v>
      </c>
      <c r="H136" s="28">
        <v>0.53929539295392959</v>
      </c>
      <c r="I136" s="28">
        <v>72.361800000000002</v>
      </c>
      <c r="J136" s="28">
        <v>27.638200000000001</v>
      </c>
      <c r="K136" s="28">
        <v>72.381</v>
      </c>
      <c r="L136" s="28">
        <v>71</v>
      </c>
      <c r="M136" s="28">
        <v>100</v>
      </c>
      <c r="N136" s="28">
        <v>1437.3510799999999</v>
      </c>
      <c r="O136" s="28">
        <v>208.1</v>
      </c>
      <c r="P136" s="28">
        <v>1229</v>
      </c>
      <c r="Q136" s="28">
        <v>0.25108000000000003</v>
      </c>
      <c r="R136" s="28">
        <v>148.92034000000001</v>
      </c>
    </row>
    <row r="137" spans="1:18" x14ac:dyDescent="0.25">
      <c r="A137" t="s">
        <v>18</v>
      </c>
      <c r="B137">
        <v>400</v>
      </c>
      <c r="C137">
        <v>105</v>
      </c>
      <c r="D137">
        <v>4</v>
      </c>
      <c r="E137" s="28">
        <v>2.6999999999999999E-5</v>
      </c>
      <c r="F137" s="28">
        <v>92.25</v>
      </c>
      <c r="G137" s="28">
        <v>55.25</v>
      </c>
      <c r="H137" s="28">
        <v>0.59891598915989164</v>
      </c>
      <c r="I137" s="28">
        <v>66.515799999999999</v>
      </c>
      <c r="J137" s="28">
        <v>33.484200000000001</v>
      </c>
      <c r="K137" s="28">
        <v>80.952399999999997</v>
      </c>
      <c r="L137" s="28">
        <v>80</v>
      </c>
      <c r="M137" s="28">
        <v>100</v>
      </c>
      <c r="N137" s="28">
        <v>1294.1626900000001</v>
      </c>
      <c r="O137" s="28">
        <v>208.1</v>
      </c>
      <c r="P137" s="28">
        <v>1085.8</v>
      </c>
      <c r="Q137" s="28">
        <v>0.26268999999999998</v>
      </c>
      <c r="R137" s="28">
        <v>156.10816399999999</v>
      </c>
    </row>
    <row r="138" spans="1:18" x14ac:dyDescent="0.25">
      <c r="A138" t="s">
        <v>18</v>
      </c>
      <c r="B138">
        <v>400</v>
      </c>
      <c r="C138">
        <v>105</v>
      </c>
      <c r="D138">
        <v>4</v>
      </c>
      <c r="E138" s="28">
        <v>2.5000000000000001E-5</v>
      </c>
      <c r="F138" s="28">
        <v>92.25</v>
      </c>
      <c r="G138" s="28">
        <v>49.75</v>
      </c>
      <c r="H138" s="28">
        <v>0.53929539295392959</v>
      </c>
      <c r="I138" s="28">
        <v>70.351799999999997</v>
      </c>
      <c r="J138" s="28">
        <v>29.648199999999999</v>
      </c>
      <c r="K138" s="28">
        <v>78.095200000000006</v>
      </c>
      <c r="L138" s="28">
        <v>77</v>
      </c>
      <c r="M138" s="28">
        <v>100</v>
      </c>
      <c r="N138" s="28">
        <v>1405.1581100000001</v>
      </c>
      <c r="O138" s="28">
        <v>208.1</v>
      </c>
      <c r="P138" s="28">
        <v>1196.8</v>
      </c>
      <c r="Q138" s="28">
        <v>0.25811000000000001</v>
      </c>
      <c r="R138" s="28">
        <v>154.335588</v>
      </c>
    </row>
    <row r="139" spans="1:18" x14ac:dyDescent="0.25">
      <c r="A139" t="s">
        <v>18</v>
      </c>
      <c r="B139">
        <v>400</v>
      </c>
      <c r="C139">
        <v>105</v>
      </c>
      <c r="D139">
        <v>4</v>
      </c>
      <c r="E139" s="28">
        <v>2.5000000000000001E-5</v>
      </c>
      <c r="F139" s="28">
        <v>92.25</v>
      </c>
      <c r="G139" s="28">
        <v>47.75</v>
      </c>
      <c r="H139" s="28">
        <v>0.51761517615176156</v>
      </c>
      <c r="I139" s="28">
        <v>68.062799999999996</v>
      </c>
      <c r="J139" s="28">
        <v>31.937200000000001</v>
      </c>
      <c r="K139" s="28">
        <v>73.333299999999994</v>
      </c>
      <c r="L139" s="28">
        <v>72</v>
      </c>
      <c r="M139" s="28">
        <v>100</v>
      </c>
      <c r="N139" s="28">
        <v>1498.3514500000001</v>
      </c>
      <c r="O139" s="28">
        <v>208.1</v>
      </c>
      <c r="P139" s="28">
        <v>1290</v>
      </c>
      <c r="Q139" s="28">
        <v>0.25145000000000001</v>
      </c>
      <c r="R139" s="28">
        <v>153.44212099999999</v>
      </c>
    </row>
    <row r="140" spans="1:18" x14ac:dyDescent="0.25">
      <c r="A140" t="s">
        <v>18</v>
      </c>
      <c r="B140">
        <v>400</v>
      </c>
      <c r="C140">
        <v>105</v>
      </c>
      <c r="D140">
        <v>4</v>
      </c>
      <c r="E140" s="28">
        <v>2.5000000000000001E-5</v>
      </c>
      <c r="F140" s="28">
        <v>92.25</v>
      </c>
      <c r="G140" s="28">
        <v>47.75</v>
      </c>
      <c r="H140" s="28">
        <v>0.51761517615176156</v>
      </c>
      <c r="I140" s="28">
        <v>71.727699999999999</v>
      </c>
      <c r="J140" s="28">
        <v>28.272300000000001</v>
      </c>
      <c r="K140" s="28">
        <v>72.381</v>
      </c>
      <c r="L140" s="28">
        <v>71</v>
      </c>
      <c r="M140" s="28">
        <v>100</v>
      </c>
      <c r="N140" s="28">
        <v>1487.55179</v>
      </c>
      <c r="O140" s="28">
        <v>208.1</v>
      </c>
      <c r="P140" s="28">
        <v>1279.2</v>
      </c>
      <c r="Q140" s="28">
        <v>0.25179000000000001</v>
      </c>
      <c r="R140" s="28">
        <v>147.01104900000001</v>
      </c>
    </row>
    <row r="141" spans="1:18" x14ac:dyDescent="0.25">
      <c r="A141" t="s">
        <v>18</v>
      </c>
      <c r="B141">
        <v>400</v>
      </c>
      <c r="C141">
        <v>105</v>
      </c>
      <c r="D141">
        <v>4</v>
      </c>
      <c r="E141" s="28">
        <v>2.5000000000000001E-5</v>
      </c>
      <c r="F141" s="28">
        <v>92.25</v>
      </c>
      <c r="G141" s="28">
        <v>49.75</v>
      </c>
      <c r="H141" s="28">
        <v>0.53929539295392959</v>
      </c>
      <c r="I141" s="28">
        <v>68.341700000000003</v>
      </c>
      <c r="J141" s="28">
        <v>31.658300000000001</v>
      </c>
      <c r="K141" s="28">
        <v>75.238100000000003</v>
      </c>
      <c r="L141" s="28">
        <v>74</v>
      </c>
      <c r="M141" s="28">
        <v>100</v>
      </c>
      <c r="N141" s="28">
        <v>1417.55288</v>
      </c>
      <c r="O141" s="28">
        <v>208.1</v>
      </c>
      <c r="P141" s="28">
        <v>1209.2</v>
      </c>
      <c r="Q141" s="28">
        <v>0.25287999999999999</v>
      </c>
      <c r="R141" s="28">
        <v>155.15400199999999</v>
      </c>
    </row>
    <row r="142" spans="1:18" x14ac:dyDescent="0.25">
      <c r="A142" t="s">
        <v>18</v>
      </c>
      <c r="B142">
        <v>400</v>
      </c>
      <c r="C142">
        <v>105</v>
      </c>
      <c r="D142">
        <v>4</v>
      </c>
      <c r="E142" s="28">
        <v>2.5999999999999998E-5</v>
      </c>
      <c r="F142" s="28">
        <v>92.25</v>
      </c>
      <c r="G142" s="28">
        <v>52.5</v>
      </c>
      <c r="H142" s="28">
        <v>0.56910569105691056</v>
      </c>
      <c r="I142" s="28">
        <v>70.476200000000006</v>
      </c>
      <c r="J142" s="28">
        <v>29.523800000000001</v>
      </c>
      <c r="K142" s="28">
        <v>78.095200000000006</v>
      </c>
      <c r="L142" s="28">
        <v>77</v>
      </c>
      <c r="M142" s="28">
        <v>100</v>
      </c>
      <c r="N142" s="28">
        <v>1336.6590799999999</v>
      </c>
      <c r="O142" s="28">
        <v>208.1</v>
      </c>
      <c r="P142" s="28">
        <v>1128.3</v>
      </c>
      <c r="Q142" s="28">
        <v>0.25907999999999998</v>
      </c>
      <c r="R142" s="28">
        <v>154.31619599999999</v>
      </c>
    </row>
    <row r="143" spans="1:18" x14ac:dyDescent="0.25">
      <c r="A143" t="s">
        <v>18</v>
      </c>
      <c r="B143">
        <v>400</v>
      </c>
      <c r="C143">
        <v>105</v>
      </c>
      <c r="D143">
        <v>4</v>
      </c>
      <c r="E143" s="28">
        <v>3.4999999999999997E-5</v>
      </c>
      <c r="F143" s="28">
        <v>92.25</v>
      </c>
      <c r="G143" s="28">
        <v>50.25</v>
      </c>
      <c r="H143" s="28">
        <v>0.54471544715447151</v>
      </c>
      <c r="I143" s="28">
        <v>69.154200000000003</v>
      </c>
      <c r="J143" s="28">
        <v>30.845800000000001</v>
      </c>
      <c r="K143" s="28">
        <v>76.1905</v>
      </c>
      <c r="L143" s="28">
        <v>75</v>
      </c>
      <c r="M143" s="28">
        <v>100</v>
      </c>
      <c r="N143" s="28">
        <v>1404.5559900000001</v>
      </c>
      <c r="O143" s="28">
        <v>208.1</v>
      </c>
      <c r="P143" s="28">
        <v>1196.2</v>
      </c>
      <c r="Q143" s="28">
        <v>0.25599</v>
      </c>
      <c r="R143" s="28">
        <v>155.72289900000001</v>
      </c>
    </row>
    <row r="144" spans="1:18" x14ac:dyDescent="0.25">
      <c r="A144" t="s">
        <v>18</v>
      </c>
      <c r="B144">
        <v>400</v>
      </c>
      <c r="C144">
        <v>105</v>
      </c>
      <c r="D144">
        <v>4</v>
      </c>
      <c r="E144" s="28">
        <v>2.5000000000000001E-5</v>
      </c>
      <c r="F144" s="28">
        <v>92.25</v>
      </c>
      <c r="G144" s="28">
        <v>47.5</v>
      </c>
      <c r="H144" s="28">
        <v>0.51490514905149054</v>
      </c>
      <c r="I144" s="28">
        <v>70</v>
      </c>
      <c r="J144" s="28">
        <v>30</v>
      </c>
      <c r="K144" s="28">
        <v>75.238100000000003</v>
      </c>
      <c r="L144" s="28">
        <v>74</v>
      </c>
      <c r="M144" s="28">
        <v>100</v>
      </c>
      <c r="N144" s="28">
        <v>1488.05537</v>
      </c>
      <c r="O144" s="28">
        <v>208.1</v>
      </c>
      <c r="P144" s="28">
        <v>1279.7</v>
      </c>
      <c r="Q144" s="28">
        <v>0.25536999999999999</v>
      </c>
      <c r="R144" s="28">
        <v>153.82839799999999</v>
      </c>
    </row>
    <row r="145" spans="1:18" x14ac:dyDescent="0.25">
      <c r="A145" t="s">
        <v>18</v>
      </c>
      <c r="B145">
        <v>400</v>
      </c>
      <c r="C145">
        <v>105</v>
      </c>
      <c r="D145">
        <v>4</v>
      </c>
      <c r="E145" s="28">
        <v>2.6999999999999999E-5</v>
      </c>
      <c r="F145" s="28">
        <v>92.25</v>
      </c>
      <c r="G145" s="28">
        <v>50.75</v>
      </c>
      <c r="H145" s="28">
        <v>0.55013550135501355</v>
      </c>
      <c r="I145" s="28">
        <v>68.472899999999996</v>
      </c>
      <c r="J145" s="28">
        <v>31.527100000000001</v>
      </c>
      <c r="K145" s="28">
        <v>77.142899999999997</v>
      </c>
      <c r="L145" s="28">
        <v>76</v>
      </c>
      <c r="M145" s="28">
        <v>100</v>
      </c>
      <c r="N145" s="28">
        <v>1395.1567500000001</v>
      </c>
      <c r="O145" s="28">
        <v>208.1</v>
      </c>
      <c r="P145" s="28">
        <v>1186.8</v>
      </c>
      <c r="Q145" s="28">
        <v>0.25674999999999998</v>
      </c>
      <c r="R145" s="28">
        <v>155.70540299999999</v>
      </c>
    </row>
    <row r="146" spans="1:18" x14ac:dyDescent="0.25">
      <c r="A146" t="s">
        <v>18</v>
      </c>
      <c r="B146">
        <v>400</v>
      </c>
      <c r="C146">
        <v>105</v>
      </c>
      <c r="D146">
        <v>4</v>
      </c>
      <c r="E146" s="28">
        <v>2.6999999999999999E-5</v>
      </c>
      <c r="F146" s="28">
        <v>92.25</v>
      </c>
      <c r="G146" s="28">
        <v>51.5</v>
      </c>
      <c r="H146" s="28">
        <v>0.5582655826558266</v>
      </c>
      <c r="I146" s="28">
        <v>64.563100000000006</v>
      </c>
      <c r="J146" s="28">
        <v>35.436900000000001</v>
      </c>
      <c r="K146" s="28">
        <v>78.095200000000006</v>
      </c>
      <c r="L146" s="28">
        <v>77</v>
      </c>
      <c r="M146" s="28">
        <v>100</v>
      </c>
      <c r="N146" s="28">
        <v>1360.85779</v>
      </c>
      <c r="O146" s="28">
        <v>208.1</v>
      </c>
      <c r="P146" s="28">
        <v>1152.5</v>
      </c>
      <c r="Q146" s="28">
        <v>0.25779000000000002</v>
      </c>
      <c r="R146" s="28">
        <v>160.66106199999999</v>
      </c>
    </row>
    <row r="147" spans="1:18" x14ac:dyDescent="0.25">
      <c r="A147" t="s">
        <v>18</v>
      </c>
      <c r="B147">
        <v>400</v>
      </c>
      <c r="C147">
        <v>105</v>
      </c>
      <c r="D147">
        <v>4</v>
      </c>
      <c r="E147" s="28">
        <v>2.5000000000000001E-5</v>
      </c>
      <c r="F147" s="28">
        <v>92.25</v>
      </c>
      <c r="G147" s="28">
        <v>51.5</v>
      </c>
      <c r="H147" s="28">
        <v>0.5582655826558266</v>
      </c>
      <c r="I147" s="28">
        <v>67.961200000000005</v>
      </c>
      <c r="J147" s="28">
        <v>32.038800000000002</v>
      </c>
      <c r="K147" s="28">
        <v>78.095200000000006</v>
      </c>
      <c r="L147" s="28">
        <v>77</v>
      </c>
      <c r="M147" s="28">
        <v>100</v>
      </c>
      <c r="N147" s="28">
        <v>1377.8575499999999</v>
      </c>
      <c r="O147" s="28">
        <v>208.1</v>
      </c>
      <c r="P147" s="28">
        <v>1169.5</v>
      </c>
      <c r="Q147" s="28">
        <v>0.25755</v>
      </c>
      <c r="R147" s="28">
        <v>158.55988600000001</v>
      </c>
    </row>
    <row r="148" spans="1:18" x14ac:dyDescent="0.25">
      <c r="A148" t="s">
        <v>18</v>
      </c>
      <c r="B148">
        <v>400</v>
      </c>
      <c r="C148">
        <v>105</v>
      </c>
      <c r="D148">
        <v>4</v>
      </c>
      <c r="E148" s="28">
        <v>2.5000000000000001E-5</v>
      </c>
      <c r="F148" s="28">
        <v>92.25</v>
      </c>
      <c r="G148" s="28">
        <v>49</v>
      </c>
      <c r="H148" s="28">
        <v>0.53116531165311653</v>
      </c>
      <c r="I148" s="28">
        <v>67.346900000000005</v>
      </c>
      <c r="J148" s="28">
        <v>32.653100000000002</v>
      </c>
      <c r="K148" s="28">
        <v>76.1905</v>
      </c>
      <c r="L148" s="28">
        <v>75</v>
      </c>
      <c r="M148" s="28">
        <v>100</v>
      </c>
      <c r="N148" s="28">
        <v>1429.05547</v>
      </c>
      <c r="O148" s="28">
        <v>208.1</v>
      </c>
      <c r="P148" s="28">
        <v>1220.7</v>
      </c>
      <c r="Q148" s="28">
        <v>0.25546999999999997</v>
      </c>
      <c r="R148" s="28">
        <v>157.864679</v>
      </c>
    </row>
    <row r="149" spans="1:18" x14ac:dyDescent="0.25">
      <c r="A149" t="s">
        <v>18</v>
      </c>
      <c r="B149">
        <v>400</v>
      </c>
      <c r="C149">
        <v>105</v>
      </c>
      <c r="D149">
        <v>4</v>
      </c>
      <c r="E149" s="28">
        <v>2.5000000000000001E-5</v>
      </c>
      <c r="F149" s="28">
        <v>92.25</v>
      </c>
      <c r="G149" s="28">
        <v>48</v>
      </c>
      <c r="H149" s="28">
        <v>0.52032520325203258</v>
      </c>
      <c r="I149" s="28">
        <v>68.229200000000006</v>
      </c>
      <c r="J149" s="28">
        <v>31.770800000000001</v>
      </c>
      <c r="K149" s="28">
        <v>75.238100000000003</v>
      </c>
      <c r="L149" s="28">
        <v>74</v>
      </c>
      <c r="M149" s="28">
        <v>100</v>
      </c>
      <c r="N149" s="28">
        <v>1491.6541099999999</v>
      </c>
      <c r="O149" s="28">
        <v>208.1</v>
      </c>
      <c r="P149" s="28">
        <v>1283.3</v>
      </c>
      <c r="Q149" s="28">
        <v>0.25411</v>
      </c>
      <c r="R149" s="28">
        <v>152.51708500000001</v>
      </c>
    </row>
    <row r="150" spans="1:18" x14ac:dyDescent="0.25">
      <c r="A150" t="s">
        <v>18</v>
      </c>
      <c r="B150">
        <v>400</v>
      </c>
      <c r="C150">
        <v>105</v>
      </c>
      <c r="D150">
        <v>4</v>
      </c>
      <c r="E150" s="28">
        <v>2.5999999999999998E-5</v>
      </c>
      <c r="F150" s="28">
        <v>92.25</v>
      </c>
      <c r="G150" s="28">
        <v>50.5</v>
      </c>
      <c r="H150" s="28">
        <v>0.54742547425474253</v>
      </c>
      <c r="I150" s="28">
        <v>70.792100000000005</v>
      </c>
      <c r="J150" s="28">
        <v>29.207899999999999</v>
      </c>
      <c r="K150" s="28">
        <v>72.381</v>
      </c>
      <c r="L150" s="28">
        <v>71</v>
      </c>
      <c r="M150" s="28">
        <v>100</v>
      </c>
      <c r="N150" s="28">
        <v>1389.45084</v>
      </c>
      <c r="O150" s="28">
        <v>208.1</v>
      </c>
      <c r="P150" s="28">
        <v>1181.0999999999999</v>
      </c>
      <c r="Q150" s="28">
        <v>0.25084000000000001</v>
      </c>
      <c r="R150" s="28">
        <v>154.321394</v>
      </c>
    </row>
    <row r="151" spans="1:18" x14ac:dyDescent="0.25">
      <c r="A151" t="s">
        <v>18</v>
      </c>
      <c r="B151">
        <v>400</v>
      </c>
      <c r="C151">
        <v>105</v>
      </c>
      <c r="D151">
        <v>4</v>
      </c>
      <c r="E151" s="28">
        <v>2.5000000000000001E-5</v>
      </c>
      <c r="F151" s="28">
        <v>92.25</v>
      </c>
      <c r="G151" s="28">
        <v>49.25</v>
      </c>
      <c r="H151" s="28">
        <v>0.53387533875338755</v>
      </c>
      <c r="I151" s="28">
        <v>69.035499999999999</v>
      </c>
      <c r="J151" s="28">
        <v>30.964500000000001</v>
      </c>
      <c r="K151" s="28">
        <v>73.333299999999994</v>
      </c>
      <c r="L151" s="28">
        <v>72</v>
      </c>
      <c r="M151" s="28">
        <v>100</v>
      </c>
      <c r="N151" s="28">
        <v>1436.7523200000001</v>
      </c>
      <c r="O151" s="28">
        <v>208.1</v>
      </c>
      <c r="P151" s="28">
        <v>1228.4000000000001</v>
      </c>
      <c r="Q151" s="28">
        <v>0.25231999999999999</v>
      </c>
      <c r="R151" s="28">
        <v>152.24192300000001</v>
      </c>
    </row>
    <row r="152" spans="1:18" x14ac:dyDescent="0.25">
      <c r="A152" t="s">
        <v>18</v>
      </c>
      <c r="B152">
        <v>400</v>
      </c>
      <c r="C152">
        <v>105</v>
      </c>
      <c r="D152">
        <v>4</v>
      </c>
      <c r="E152" s="28">
        <v>2.6999999999999999E-5</v>
      </c>
      <c r="F152" s="28">
        <v>92.25</v>
      </c>
      <c r="G152" s="28">
        <v>50.75</v>
      </c>
      <c r="H152" s="28">
        <v>0.55013550135501355</v>
      </c>
      <c r="I152" s="28">
        <v>68.965500000000006</v>
      </c>
      <c r="J152" s="28">
        <v>31.034500000000001</v>
      </c>
      <c r="K152" s="28">
        <v>72.381</v>
      </c>
      <c r="L152" s="28">
        <v>71</v>
      </c>
      <c r="M152" s="28">
        <v>100</v>
      </c>
      <c r="N152" s="28">
        <v>1413.54928</v>
      </c>
      <c r="O152" s="28">
        <v>208.1</v>
      </c>
      <c r="P152" s="28">
        <v>1205.2</v>
      </c>
      <c r="Q152" s="28">
        <v>0.24928</v>
      </c>
      <c r="R152" s="28">
        <v>155.18103400000001</v>
      </c>
    </row>
    <row r="153" spans="1:18" x14ac:dyDescent="0.25">
      <c r="A153" t="s">
        <v>18</v>
      </c>
      <c r="B153">
        <v>400</v>
      </c>
      <c r="C153">
        <v>105</v>
      </c>
      <c r="D153">
        <v>4</v>
      </c>
      <c r="E153" s="28">
        <v>2.6999999999999999E-5</v>
      </c>
      <c r="F153" s="28">
        <v>92.25</v>
      </c>
      <c r="G153" s="28">
        <v>52.75</v>
      </c>
      <c r="H153" s="28">
        <v>0.57181571815718157</v>
      </c>
      <c r="I153" s="28">
        <v>69.194299999999998</v>
      </c>
      <c r="J153" s="28">
        <v>30.805700000000002</v>
      </c>
      <c r="K153" s="28">
        <v>76.1905</v>
      </c>
      <c r="L153" s="28">
        <v>75</v>
      </c>
      <c r="M153" s="28">
        <v>100</v>
      </c>
      <c r="N153" s="28">
        <v>1355.5561</v>
      </c>
      <c r="O153" s="28">
        <v>208.1</v>
      </c>
      <c r="P153" s="28">
        <v>1147.2</v>
      </c>
      <c r="Q153" s="28">
        <v>0.25609999999999999</v>
      </c>
      <c r="R153" s="28">
        <v>152.772257</v>
      </c>
    </row>
    <row r="154" spans="1:18" x14ac:dyDescent="0.25">
      <c r="A154" t="s">
        <v>18</v>
      </c>
      <c r="B154">
        <v>400</v>
      </c>
      <c r="C154">
        <v>105</v>
      </c>
      <c r="D154">
        <v>4</v>
      </c>
      <c r="E154" s="28">
        <v>2.5000000000000001E-5</v>
      </c>
      <c r="F154" s="28">
        <v>92.25</v>
      </c>
      <c r="G154" s="28">
        <v>50</v>
      </c>
      <c r="H154" s="28">
        <v>0.54200542005420049</v>
      </c>
      <c r="I154" s="28">
        <v>69</v>
      </c>
      <c r="J154" s="28">
        <v>31</v>
      </c>
      <c r="K154" s="28">
        <v>78.095200000000006</v>
      </c>
      <c r="L154" s="28">
        <v>77</v>
      </c>
      <c r="M154" s="28">
        <v>100</v>
      </c>
      <c r="N154" s="28">
        <v>1416.25917</v>
      </c>
      <c r="O154" s="28">
        <v>208.1</v>
      </c>
      <c r="P154" s="28">
        <v>1207.9000000000001</v>
      </c>
      <c r="Q154" s="28">
        <v>0.25917000000000001</v>
      </c>
      <c r="R154" s="28">
        <v>155.61679000000001</v>
      </c>
    </row>
    <row r="155" spans="1:18" x14ac:dyDescent="0.25">
      <c r="A155" t="s">
        <v>18</v>
      </c>
      <c r="B155">
        <v>400</v>
      </c>
      <c r="C155">
        <v>105</v>
      </c>
      <c r="D155">
        <v>4</v>
      </c>
      <c r="E155" s="28">
        <v>2.5000000000000001E-5</v>
      </c>
      <c r="F155" s="28">
        <v>92.25</v>
      </c>
      <c r="G155" s="28">
        <v>49.75</v>
      </c>
      <c r="H155" s="28">
        <v>0.53929539295392959</v>
      </c>
      <c r="I155" s="28">
        <v>67.336699999999993</v>
      </c>
      <c r="J155" s="28">
        <v>32.6633</v>
      </c>
      <c r="K155" s="28">
        <v>76.1905</v>
      </c>
      <c r="L155" s="28">
        <v>75</v>
      </c>
      <c r="M155" s="28">
        <v>100</v>
      </c>
      <c r="N155" s="28">
        <v>1423.9554499999999</v>
      </c>
      <c r="O155" s="28">
        <v>208.1</v>
      </c>
      <c r="P155" s="28">
        <v>1215.5999999999999</v>
      </c>
      <c r="Q155" s="28">
        <v>0.25545000000000001</v>
      </c>
      <c r="R155" s="28">
        <v>155.54024100000001</v>
      </c>
    </row>
    <row r="156" spans="1:18" x14ac:dyDescent="0.25">
      <c r="A156" t="s">
        <v>18</v>
      </c>
      <c r="B156">
        <v>400</v>
      </c>
      <c r="C156">
        <v>105</v>
      </c>
      <c r="D156">
        <v>4</v>
      </c>
      <c r="E156" s="28">
        <v>2.4000000000000001E-5</v>
      </c>
      <c r="F156" s="28">
        <v>92.25</v>
      </c>
      <c r="G156" s="28">
        <v>48.25</v>
      </c>
      <c r="H156" s="28">
        <v>0.52303523035230348</v>
      </c>
      <c r="I156" s="28">
        <v>69.9482</v>
      </c>
      <c r="J156" s="28">
        <v>30.0518</v>
      </c>
      <c r="K156" s="28">
        <v>80</v>
      </c>
      <c r="L156" s="28">
        <v>79</v>
      </c>
      <c r="M156" s="28">
        <v>100</v>
      </c>
      <c r="N156" s="28">
        <v>1467.35969</v>
      </c>
      <c r="O156" s="28">
        <v>208.1</v>
      </c>
      <c r="P156" s="28">
        <v>1259</v>
      </c>
      <c r="Q156" s="28">
        <v>0.25968999999999998</v>
      </c>
      <c r="R156" s="28">
        <v>152.26214899999999</v>
      </c>
    </row>
    <row r="157" spans="1:18" x14ac:dyDescent="0.25">
      <c r="A157" t="s">
        <v>18</v>
      </c>
      <c r="B157">
        <v>400</v>
      </c>
      <c r="C157">
        <v>105</v>
      </c>
      <c r="D157">
        <v>4</v>
      </c>
      <c r="E157" s="28">
        <v>2.5000000000000001E-5</v>
      </c>
      <c r="F157" s="28">
        <v>92.25</v>
      </c>
      <c r="G157" s="28">
        <v>47.75</v>
      </c>
      <c r="H157" s="28">
        <v>0.51761517615176156</v>
      </c>
      <c r="I157" s="28">
        <v>68.062799999999996</v>
      </c>
      <c r="J157" s="28">
        <v>31.937200000000001</v>
      </c>
      <c r="K157" s="28">
        <v>75.238100000000003</v>
      </c>
      <c r="L157" s="28">
        <v>74</v>
      </c>
      <c r="M157" s="28">
        <v>100</v>
      </c>
      <c r="N157" s="28">
        <v>1480.5546999999999</v>
      </c>
      <c r="O157" s="28">
        <v>208.1</v>
      </c>
      <c r="P157" s="28">
        <v>1272.2</v>
      </c>
      <c r="Q157" s="28">
        <v>0.25469999999999998</v>
      </c>
      <c r="R157" s="28">
        <v>155.98122900000001</v>
      </c>
    </row>
    <row r="158" spans="1:18" x14ac:dyDescent="0.25">
      <c r="A158" t="s">
        <v>18</v>
      </c>
      <c r="B158">
        <v>400</v>
      </c>
      <c r="C158">
        <v>105</v>
      </c>
      <c r="D158">
        <v>4</v>
      </c>
      <c r="E158" s="28">
        <v>2.5000000000000001E-5</v>
      </c>
      <c r="F158" s="28">
        <v>92.25</v>
      </c>
      <c r="G158" s="28">
        <v>49.25</v>
      </c>
      <c r="H158" s="28">
        <v>0.53387533875338755</v>
      </c>
      <c r="I158" s="28">
        <v>72.081199999999995</v>
      </c>
      <c r="J158" s="28">
        <v>27.918800000000001</v>
      </c>
      <c r="K158" s="28">
        <v>75.238100000000003</v>
      </c>
      <c r="L158" s="28">
        <v>74</v>
      </c>
      <c r="M158" s="28">
        <v>100</v>
      </c>
      <c r="N158" s="28">
        <v>1435.55529</v>
      </c>
      <c r="O158" s="28">
        <v>208.1</v>
      </c>
      <c r="P158" s="28">
        <v>1227.2</v>
      </c>
      <c r="Q158" s="28">
        <v>0.25529000000000002</v>
      </c>
      <c r="R158" s="28">
        <v>151.27996899999999</v>
      </c>
    </row>
    <row r="159" spans="1:18" x14ac:dyDescent="0.25">
      <c r="A159" t="s">
        <v>18</v>
      </c>
      <c r="B159">
        <v>400</v>
      </c>
      <c r="C159">
        <v>105</v>
      </c>
      <c r="D159">
        <v>4</v>
      </c>
      <c r="E159" s="28">
        <v>2.5999999999999998E-5</v>
      </c>
      <c r="F159" s="28">
        <v>92.25</v>
      </c>
      <c r="G159" s="28">
        <v>49.75</v>
      </c>
      <c r="H159" s="28">
        <v>0.53929539295392959</v>
      </c>
      <c r="I159" s="28">
        <v>67.839200000000005</v>
      </c>
      <c r="J159" s="28">
        <v>32.160800000000002</v>
      </c>
      <c r="K159" s="28">
        <v>72.381</v>
      </c>
      <c r="L159" s="28">
        <v>71</v>
      </c>
      <c r="M159" s="28">
        <v>100</v>
      </c>
      <c r="N159" s="28">
        <v>1425.95171</v>
      </c>
      <c r="O159" s="28">
        <v>208.1</v>
      </c>
      <c r="P159" s="28">
        <v>1217.5999999999999</v>
      </c>
      <c r="Q159" s="28">
        <v>0.25170999999999999</v>
      </c>
      <c r="R159" s="28">
        <v>156.46009900000001</v>
      </c>
    </row>
    <row r="160" spans="1:18" x14ac:dyDescent="0.25">
      <c r="A160" t="s">
        <v>18</v>
      </c>
      <c r="B160">
        <v>400</v>
      </c>
      <c r="C160">
        <v>105</v>
      </c>
      <c r="D160">
        <v>4</v>
      </c>
      <c r="E160" s="28">
        <v>2.5999999999999998E-5</v>
      </c>
      <c r="F160" s="28">
        <v>92.25</v>
      </c>
      <c r="G160" s="28">
        <v>51.75</v>
      </c>
      <c r="H160" s="28">
        <v>0.56097560975609762</v>
      </c>
      <c r="I160" s="28">
        <v>66.183599999999998</v>
      </c>
      <c r="J160" s="28">
        <v>33.816400000000002</v>
      </c>
      <c r="K160" s="28">
        <v>79.047600000000003</v>
      </c>
      <c r="L160" s="28">
        <v>78</v>
      </c>
      <c r="M160" s="28">
        <v>100</v>
      </c>
      <c r="N160" s="28">
        <v>1367.55918</v>
      </c>
      <c r="O160" s="28">
        <v>208.1</v>
      </c>
      <c r="P160" s="28">
        <v>1159.2</v>
      </c>
      <c r="Q160" s="28">
        <v>0.25918000000000002</v>
      </c>
      <c r="R160" s="28">
        <v>160.19331299999999</v>
      </c>
    </row>
    <row r="161" spans="1:18" x14ac:dyDescent="0.25">
      <c r="A161" t="s">
        <v>18</v>
      </c>
      <c r="B161">
        <v>400</v>
      </c>
      <c r="C161">
        <v>105</v>
      </c>
      <c r="D161">
        <v>4</v>
      </c>
      <c r="E161" s="28">
        <v>2.5000000000000001E-5</v>
      </c>
      <c r="F161" s="28">
        <v>92.25</v>
      </c>
      <c r="G161" s="28">
        <v>48.5</v>
      </c>
      <c r="H161" s="28">
        <v>0.5257452574525745</v>
      </c>
      <c r="I161" s="28">
        <v>71.134</v>
      </c>
      <c r="J161" s="28">
        <v>28.866</v>
      </c>
      <c r="K161" s="28">
        <v>73.333299999999994</v>
      </c>
      <c r="L161" s="28">
        <v>72</v>
      </c>
      <c r="M161" s="28">
        <v>100</v>
      </c>
      <c r="N161" s="28">
        <v>1453.6525799999999</v>
      </c>
      <c r="O161" s="28">
        <v>208.1</v>
      </c>
      <c r="P161" s="28">
        <v>1245.3</v>
      </c>
      <c r="Q161" s="28">
        <v>0.25258000000000003</v>
      </c>
      <c r="R161" s="28">
        <v>152.11811499999999</v>
      </c>
    </row>
    <row r="162" spans="1:18" x14ac:dyDescent="0.25">
      <c r="A162" t="s">
        <v>18</v>
      </c>
      <c r="B162">
        <v>400</v>
      </c>
      <c r="C162">
        <v>105</v>
      </c>
      <c r="D162">
        <v>4</v>
      </c>
      <c r="E162" s="28">
        <v>2.5000000000000001E-5</v>
      </c>
      <c r="F162" s="28">
        <v>92.25</v>
      </c>
      <c r="G162" s="28">
        <v>52.5</v>
      </c>
      <c r="H162" s="28">
        <v>0.56910569105691056</v>
      </c>
      <c r="I162" s="28">
        <v>70.476200000000006</v>
      </c>
      <c r="J162" s="28">
        <v>29.523800000000001</v>
      </c>
      <c r="K162" s="28">
        <v>78.095200000000006</v>
      </c>
      <c r="L162" s="28">
        <v>77</v>
      </c>
      <c r="M162" s="28">
        <v>100</v>
      </c>
      <c r="N162" s="28">
        <v>1348.05825</v>
      </c>
      <c r="O162" s="28">
        <v>208.1</v>
      </c>
      <c r="P162" s="28">
        <v>1139.7</v>
      </c>
      <c r="Q162" s="28">
        <v>0.25824999999999998</v>
      </c>
      <c r="R162" s="28">
        <v>155.55768900000001</v>
      </c>
    </row>
    <row r="163" spans="1:18" x14ac:dyDescent="0.25">
      <c r="A163" t="s">
        <v>18</v>
      </c>
      <c r="B163">
        <v>400</v>
      </c>
      <c r="C163">
        <v>105</v>
      </c>
      <c r="D163">
        <v>4</v>
      </c>
      <c r="E163" s="28">
        <v>2.5999999999999998E-5</v>
      </c>
      <c r="F163" s="28">
        <v>92.25</v>
      </c>
      <c r="G163" s="28">
        <v>51.5</v>
      </c>
      <c r="H163" s="28">
        <v>0.5582655826558266</v>
      </c>
      <c r="I163" s="28">
        <v>66.019400000000005</v>
      </c>
      <c r="J163" s="28">
        <v>33.980600000000003</v>
      </c>
      <c r="K163" s="28">
        <v>82.857100000000003</v>
      </c>
      <c r="L163" s="28">
        <v>82</v>
      </c>
      <c r="M163" s="28">
        <v>100</v>
      </c>
      <c r="N163" s="28">
        <v>1360.8631399999999</v>
      </c>
      <c r="O163" s="28">
        <v>208.1</v>
      </c>
      <c r="P163" s="28">
        <v>1152.5</v>
      </c>
      <c r="Q163" s="28">
        <v>0.26313999999999999</v>
      </c>
      <c r="R163" s="28">
        <v>159.48715999999999</v>
      </c>
    </row>
    <row r="164" spans="1:18" x14ac:dyDescent="0.25">
      <c r="A164" t="s">
        <v>18</v>
      </c>
      <c r="B164">
        <v>400</v>
      </c>
      <c r="C164">
        <v>105</v>
      </c>
      <c r="D164">
        <v>4</v>
      </c>
      <c r="E164" s="28">
        <v>2.5000000000000001E-5</v>
      </c>
      <c r="F164" s="28">
        <v>92.25</v>
      </c>
      <c r="G164" s="28">
        <v>48</v>
      </c>
      <c r="H164" s="28">
        <v>0.52032520325203258</v>
      </c>
      <c r="I164" s="28">
        <v>68.229200000000006</v>
      </c>
      <c r="J164" s="28">
        <v>31.770800000000001</v>
      </c>
      <c r="K164" s="28">
        <v>79.047600000000003</v>
      </c>
      <c r="L164" s="28">
        <v>78</v>
      </c>
      <c r="M164" s="28">
        <v>100</v>
      </c>
      <c r="N164" s="28">
        <v>1481.0591999999999</v>
      </c>
      <c r="O164" s="28">
        <v>208.1</v>
      </c>
      <c r="P164" s="28">
        <v>1272.7</v>
      </c>
      <c r="Q164" s="28">
        <v>0.25919999999999999</v>
      </c>
      <c r="R164" s="28">
        <v>154.899384</v>
      </c>
    </row>
    <row r="165" spans="1:18" x14ac:dyDescent="0.25">
      <c r="A165" t="s">
        <v>18</v>
      </c>
      <c r="B165">
        <v>400</v>
      </c>
      <c r="C165">
        <v>105</v>
      </c>
      <c r="D165">
        <v>4</v>
      </c>
      <c r="E165" s="28">
        <v>2.6999999999999999E-5</v>
      </c>
      <c r="F165" s="28">
        <v>92.25</v>
      </c>
      <c r="G165" s="28">
        <v>50</v>
      </c>
      <c r="H165" s="28">
        <v>0.54200542005420049</v>
      </c>
      <c r="I165" s="28">
        <v>64</v>
      </c>
      <c r="J165" s="28">
        <v>36</v>
      </c>
      <c r="K165" s="28">
        <v>72.381</v>
      </c>
      <c r="L165" s="28">
        <v>71</v>
      </c>
      <c r="M165" s="28">
        <v>100</v>
      </c>
      <c r="N165" s="28">
        <v>1412.8517300000001</v>
      </c>
      <c r="O165" s="28">
        <v>208.1</v>
      </c>
      <c r="P165" s="28">
        <v>1204.5</v>
      </c>
      <c r="Q165" s="28">
        <v>0.25173000000000001</v>
      </c>
      <c r="R165" s="28">
        <v>162.45145500000001</v>
      </c>
    </row>
    <row r="166" spans="1:18" x14ac:dyDescent="0.25">
      <c r="A166" t="s">
        <v>18</v>
      </c>
      <c r="B166">
        <v>400</v>
      </c>
      <c r="C166">
        <v>105</v>
      </c>
      <c r="D166">
        <v>4</v>
      </c>
      <c r="E166" s="28">
        <v>2.5999999999999998E-5</v>
      </c>
      <c r="F166" s="28">
        <v>92.25</v>
      </c>
      <c r="G166" s="28">
        <v>48.5</v>
      </c>
      <c r="H166" s="28">
        <v>0.5257452574525745</v>
      </c>
      <c r="I166" s="28">
        <v>71.134</v>
      </c>
      <c r="J166" s="28">
        <v>28.866</v>
      </c>
      <c r="K166" s="28">
        <v>75.238100000000003</v>
      </c>
      <c r="L166" s="28">
        <v>74</v>
      </c>
      <c r="M166" s="28">
        <v>100</v>
      </c>
      <c r="N166" s="28">
        <v>1450.4550300000001</v>
      </c>
      <c r="O166" s="28">
        <v>208.1</v>
      </c>
      <c r="P166" s="28">
        <v>1242.0999999999999</v>
      </c>
      <c r="Q166" s="28">
        <v>0.25502999999999998</v>
      </c>
      <c r="R166" s="28">
        <v>151.79741799999999</v>
      </c>
    </row>
    <row r="167" spans="1:18" x14ac:dyDescent="0.25">
      <c r="A167" t="s">
        <v>18</v>
      </c>
      <c r="B167">
        <v>400</v>
      </c>
      <c r="C167">
        <v>105</v>
      </c>
      <c r="D167">
        <v>4</v>
      </c>
      <c r="E167" s="28">
        <v>2.5999999999999998E-5</v>
      </c>
      <c r="F167" s="28">
        <v>92.25</v>
      </c>
      <c r="G167" s="28">
        <v>52</v>
      </c>
      <c r="H167" s="28">
        <v>0.56368563685636852</v>
      </c>
      <c r="I167" s="28">
        <v>68.75</v>
      </c>
      <c r="J167" s="28">
        <v>31.25</v>
      </c>
      <c r="K167" s="28">
        <v>76.1905</v>
      </c>
      <c r="L167" s="28">
        <v>75</v>
      </c>
      <c r="M167" s="28">
        <v>100</v>
      </c>
      <c r="N167" s="28">
        <v>1363.2562800000001</v>
      </c>
      <c r="O167" s="28">
        <v>208.1</v>
      </c>
      <c r="P167" s="28">
        <v>1154.9000000000001</v>
      </c>
      <c r="Q167" s="28">
        <v>0.25628000000000001</v>
      </c>
      <c r="R167" s="28">
        <v>153.20555200000001</v>
      </c>
    </row>
    <row r="168" spans="1:18" x14ac:dyDescent="0.25">
      <c r="A168" t="s">
        <v>18</v>
      </c>
      <c r="B168">
        <v>400</v>
      </c>
      <c r="C168">
        <v>105</v>
      </c>
      <c r="D168">
        <v>4</v>
      </c>
      <c r="E168" s="28">
        <v>2.5000000000000001E-5</v>
      </c>
      <c r="F168" s="28">
        <v>92.25</v>
      </c>
      <c r="G168" s="28">
        <v>49.5</v>
      </c>
      <c r="H168" s="28">
        <v>0.53658536585365857</v>
      </c>
      <c r="I168" s="28">
        <v>70.707099999999997</v>
      </c>
      <c r="J168" s="28">
        <v>29.292899999999999</v>
      </c>
      <c r="K168" s="28">
        <v>74.285700000000006</v>
      </c>
      <c r="L168" s="28">
        <v>73</v>
      </c>
      <c r="M168" s="28">
        <v>100</v>
      </c>
      <c r="N168" s="28">
        <v>1431.8537899999999</v>
      </c>
      <c r="O168" s="28">
        <v>208.1</v>
      </c>
      <c r="P168" s="28">
        <v>1223.5</v>
      </c>
      <c r="Q168" s="28">
        <v>0.25379000000000002</v>
      </c>
      <c r="R168" s="28">
        <v>152.13394600000001</v>
      </c>
    </row>
    <row r="169" spans="1:18" x14ac:dyDescent="0.25">
      <c r="A169" t="s">
        <v>18</v>
      </c>
      <c r="B169">
        <v>400</v>
      </c>
      <c r="C169">
        <v>105</v>
      </c>
      <c r="D169">
        <v>4</v>
      </c>
      <c r="E169" s="28">
        <v>2.5000000000000001E-5</v>
      </c>
      <c r="F169" s="28">
        <v>92.25</v>
      </c>
      <c r="G169" s="28">
        <v>48</v>
      </c>
      <c r="H169" s="28">
        <v>0.52032520325203258</v>
      </c>
      <c r="I169" s="28">
        <v>70.833299999999994</v>
      </c>
      <c r="J169" s="28">
        <v>29.166699999999999</v>
      </c>
      <c r="K169" s="28">
        <v>74.285700000000006</v>
      </c>
      <c r="L169" s="28">
        <v>73</v>
      </c>
      <c r="M169" s="28">
        <v>100</v>
      </c>
      <c r="N169" s="28">
        <v>1487.85275</v>
      </c>
      <c r="O169" s="28">
        <v>208.1</v>
      </c>
      <c r="P169" s="28">
        <v>1279.5</v>
      </c>
      <c r="Q169" s="28">
        <v>0.25274999999999997</v>
      </c>
      <c r="R169" s="28">
        <v>152.57065600000001</v>
      </c>
    </row>
    <row r="170" spans="1:18" x14ac:dyDescent="0.25">
      <c r="A170" t="s">
        <v>18</v>
      </c>
      <c r="B170">
        <v>400</v>
      </c>
      <c r="C170">
        <v>105</v>
      </c>
      <c r="D170">
        <v>4</v>
      </c>
      <c r="E170" s="28">
        <v>2.5999999999999998E-5</v>
      </c>
      <c r="F170" s="28">
        <v>92.25</v>
      </c>
      <c r="G170" s="28">
        <v>52.25</v>
      </c>
      <c r="H170" s="28">
        <v>0.56639566395663954</v>
      </c>
      <c r="I170" s="28">
        <v>70.813400000000001</v>
      </c>
      <c r="J170" s="28">
        <v>29.186599999999999</v>
      </c>
      <c r="K170" s="28">
        <v>80</v>
      </c>
      <c r="L170" s="28">
        <v>79</v>
      </c>
      <c r="M170" s="28">
        <v>100</v>
      </c>
      <c r="N170" s="28">
        <v>1373.96027</v>
      </c>
      <c r="O170" s="28">
        <v>208.1</v>
      </c>
      <c r="P170" s="28">
        <v>1165.5999999999999</v>
      </c>
      <c r="Q170" s="28">
        <v>0.26027</v>
      </c>
      <c r="R170" s="28">
        <v>151.31191000000001</v>
      </c>
    </row>
    <row r="171" spans="1:18" x14ac:dyDescent="0.25">
      <c r="A171" t="s">
        <v>18</v>
      </c>
      <c r="B171">
        <v>400</v>
      </c>
      <c r="C171">
        <v>105</v>
      </c>
      <c r="D171">
        <v>4</v>
      </c>
      <c r="E171" s="28">
        <v>2.6999999999999999E-5</v>
      </c>
      <c r="F171" s="28">
        <v>92.25</v>
      </c>
      <c r="G171" s="28">
        <v>52.5</v>
      </c>
      <c r="H171" s="28">
        <v>0.56910569105691056</v>
      </c>
      <c r="I171" s="28">
        <v>66.1905</v>
      </c>
      <c r="J171" s="28">
        <v>33.8095</v>
      </c>
      <c r="K171" s="28">
        <v>75.238100000000003</v>
      </c>
      <c r="L171" s="28">
        <v>74</v>
      </c>
      <c r="M171" s="28">
        <v>100</v>
      </c>
      <c r="N171" s="28">
        <v>1353.8539699999999</v>
      </c>
      <c r="O171" s="28">
        <v>208.1</v>
      </c>
      <c r="P171" s="28">
        <v>1145.5</v>
      </c>
      <c r="Q171" s="28">
        <v>0.25396999999999997</v>
      </c>
      <c r="R171" s="28">
        <v>158.960802</v>
      </c>
    </row>
    <row r="172" spans="1:18" x14ac:dyDescent="0.25">
      <c r="A172" t="s">
        <v>18</v>
      </c>
      <c r="B172">
        <v>400</v>
      </c>
      <c r="C172">
        <v>105</v>
      </c>
      <c r="D172">
        <v>4</v>
      </c>
      <c r="E172" s="28">
        <v>2.6999999999999999E-5</v>
      </c>
      <c r="F172" s="28">
        <v>92.25</v>
      </c>
      <c r="G172" s="28">
        <v>53</v>
      </c>
      <c r="H172" s="28">
        <v>0.57452574525745259</v>
      </c>
      <c r="I172" s="28">
        <v>67.452799999999996</v>
      </c>
      <c r="J172" s="28">
        <v>32.547199999999997</v>
      </c>
      <c r="K172" s="28">
        <v>80.952399999999997</v>
      </c>
      <c r="L172" s="28">
        <v>80</v>
      </c>
      <c r="M172" s="28">
        <v>100</v>
      </c>
      <c r="N172" s="28">
        <v>1365.46225</v>
      </c>
      <c r="O172" s="28">
        <v>208.1</v>
      </c>
      <c r="P172" s="28">
        <v>1157.0999999999999</v>
      </c>
      <c r="Q172" s="28">
        <v>0.26224999999999998</v>
      </c>
      <c r="R172" s="28">
        <v>157.228748</v>
      </c>
    </row>
    <row r="173" spans="1:18" x14ac:dyDescent="0.25">
      <c r="A173" t="s">
        <v>18</v>
      </c>
      <c r="B173">
        <v>400</v>
      </c>
      <c r="C173">
        <v>105</v>
      </c>
      <c r="D173">
        <v>4</v>
      </c>
      <c r="E173" s="28">
        <v>2.5000000000000001E-5</v>
      </c>
      <c r="F173" s="28">
        <v>92.25</v>
      </c>
      <c r="G173" s="28">
        <v>48.75</v>
      </c>
      <c r="H173" s="28">
        <v>0.52845528455284552</v>
      </c>
      <c r="I173" s="28">
        <v>72.820499999999996</v>
      </c>
      <c r="J173" s="28">
        <v>27.179500000000001</v>
      </c>
      <c r="K173" s="28">
        <v>75.238100000000003</v>
      </c>
      <c r="L173" s="28">
        <v>74</v>
      </c>
      <c r="M173" s="28">
        <v>100</v>
      </c>
      <c r="N173" s="28">
        <v>1478.3554200000001</v>
      </c>
      <c r="O173" s="28">
        <v>208.1</v>
      </c>
      <c r="P173" s="28">
        <v>1270</v>
      </c>
      <c r="Q173" s="28">
        <v>0.25541999999999998</v>
      </c>
      <c r="R173" s="28">
        <v>147.80336600000001</v>
      </c>
    </row>
    <row r="174" spans="1:18" x14ac:dyDescent="0.25">
      <c r="A174" t="s">
        <v>18</v>
      </c>
      <c r="B174">
        <v>400</v>
      </c>
      <c r="C174">
        <v>105</v>
      </c>
      <c r="D174">
        <v>4</v>
      </c>
      <c r="E174" s="28">
        <v>2.5999999999999998E-5</v>
      </c>
      <c r="F174" s="28">
        <v>92.25</v>
      </c>
      <c r="G174" s="28">
        <v>51.5</v>
      </c>
      <c r="H174" s="28">
        <v>0.5582655826558266</v>
      </c>
      <c r="I174" s="28">
        <v>65.534000000000006</v>
      </c>
      <c r="J174" s="28">
        <v>34.466000000000001</v>
      </c>
      <c r="K174" s="28">
        <v>72.381</v>
      </c>
      <c r="L174" s="28">
        <v>71</v>
      </c>
      <c r="M174" s="28">
        <v>100</v>
      </c>
      <c r="N174" s="28">
        <v>1404.0526199999999</v>
      </c>
      <c r="O174" s="28">
        <v>208.1</v>
      </c>
      <c r="P174" s="28">
        <v>1195.7</v>
      </c>
      <c r="Q174" s="28">
        <v>0.25262000000000001</v>
      </c>
      <c r="R174" s="28">
        <v>157.40704500000001</v>
      </c>
    </row>
    <row r="175" spans="1:18" x14ac:dyDescent="0.25">
      <c r="A175" t="s">
        <v>18</v>
      </c>
      <c r="B175">
        <v>400</v>
      </c>
      <c r="C175">
        <v>105</v>
      </c>
      <c r="D175">
        <v>4</v>
      </c>
      <c r="E175" s="28">
        <v>2.4000000000000001E-5</v>
      </c>
      <c r="F175" s="28">
        <v>92.25</v>
      </c>
      <c r="G175" s="28">
        <v>46.75</v>
      </c>
      <c r="H175" s="28">
        <v>0.50677506775067749</v>
      </c>
      <c r="I175" s="28">
        <v>73.262</v>
      </c>
      <c r="J175" s="28">
        <v>26.738</v>
      </c>
      <c r="K175" s="28">
        <v>76.1905</v>
      </c>
      <c r="L175" s="28">
        <v>75</v>
      </c>
      <c r="M175" s="28">
        <v>100</v>
      </c>
      <c r="N175" s="28">
        <v>1507.3559600000001</v>
      </c>
      <c r="O175" s="28">
        <v>208.1</v>
      </c>
      <c r="P175" s="28">
        <v>1299</v>
      </c>
      <c r="Q175" s="28">
        <v>0.25596000000000002</v>
      </c>
      <c r="R175" s="28">
        <v>147.68357700000001</v>
      </c>
    </row>
    <row r="176" spans="1:18" x14ac:dyDescent="0.25">
      <c r="A176" t="s">
        <v>18</v>
      </c>
      <c r="B176">
        <v>400</v>
      </c>
      <c r="C176">
        <v>105</v>
      </c>
      <c r="D176">
        <v>4</v>
      </c>
      <c r="E176" s="28">
        <v>2.5000000000000001E-5</v>
      </c>
      <c r="F176" s="28">
        <v>92.25</v>
      </c>
      <c r="G176" s="28">
        <v>49.75</v>
      </c>
      <c r="H176" s="28">
        <v>0.53929539295392959</v>
      </c>
      <c r="I176" s="28">
        <v>70.351799999999997</v>
      </c>
      <c r="J176" s="28">
        <v>29.648199999999999</v>
      </c>
      <c r="K176" s="28">
        <v>75.238100000000003</v>
      </c>
      <c r="L176" s="28">
        <v>74</v>
      </c>
      <c r="M176" s="28">
        <v>100</v>
      </c>
      <c r="N176" s="28">
        <v>1417.55501</v>
      </c>
      <c r="O176" s="28">
        <v>208.1</v>
      </c>
      <c r="P176" s="28">
        <v>1209.2</v>
      </c>
      <c r="Q176" s="28">
        <v>0.25501000000000001</v>
      </c>
      <c r="R176" s="28">
        <v>151.89686499999999</v>
      </c>
    </row>
    <row r="177" spans="1:18" x14ac:dyDescent="0.25">
      <c r="A177" t="s">
        <v>18</v>
      </c>
      <c r="B177">
        <v>400</v>
      </c>
      <c r="C177">
        <v>105</v>
      </c>
      <c r="D177">
        <v>4</v>
      </c>
      <c r="E177" s="28">
        <v>2.5000000000000001E-5</v>
      </c>
      <c r="F177" s="28">
        <v>92.25</v>
      </c>
      <c r="G177" s="28">
        <v>48.5</v>
      </c>
      <c r="H177" s="28">
        <v>0.5257452574525745</v>
      </c>
      <c r="I177" s="28">
        <v>72.680400000000006</v>
      </c>
      <c r="J177" s="28">
        <v>27.319600000000001</v>
      </c>
      <c r="K177" s="28">
        <v>76.1905</v>
      </c>
      <c r="L177" s="28">
        <v>75</v>
      </c>
      <c r="M177" s="28">
        <v>100</v>
      </c>
      <c r="N177" s="28">
        <v>1459.0551</v>
      </c>
      <c r="O177" s="28">
        <v>208.1</v>
      </c>
      <c r="P177" s="28">
        <v>1250.7</v>
      </c>
      <c r="Q177" s="28">
        <v>0.25509999999999999</v>
      </c>
      <c r="R177" s="28">
        <v>148.376881</v>
      </c>
    </row>
    <row r="178" spans="1:18" x14ac:dyDescent="0.25">
      <c r="A178" t="s">
        <v>18</v>
      </c>
      <c r="B178">
        <v>400</v>
      </c>
      <c r="C178">
        <v>105</v>
      </c>
      <c r="D178">
        <v>4</v>
      </c>
      <c r="E178" s="28">
        <v>2.5000000000000001E-5</v>
      </c>
      <c r="F178" s="28">
        <v>92.25</v>
      </c>
      <c r="G178" s="28">
        <v>49.25</v>
      </c>
      <c r="H178" s="28">
        <v>0.53387533875338755</v>
      </c>
      <c r="I178" s="28">
        <v>70.050799999999995</v>
      </c>
      <c r="J178" s="28">
        <v>29.949200000000001</v>
      </c>
      <c r="K178" s="28">
        <v>75.238100000000003</v>
      </c>
      <c r="L178" s="28">
        <v>74</v>
      </c>
      <c r="M178" s="28">
        <v>100</v>
      </c>
      <c r="N178" s="28">
        <v>1426.3541299999999</v>
      </c>
      <c r="O178" s="28">
        <v>208.1</v>
      </c>
      <c r="P178" s="28">
        <v>1218</v>
      </c>
      <c r="Q178" s="28">
        <v>0.25413000000000002</v>
      </c>
      <c r="R178" s="28">
        <v>151.06832600000001</v>
      </c>
    </row>
    <row r="179" spans="1:18" x14ac:dyDescent="0.25">
      <c r="A179" t="s">
        <v>18</v>
      </c>
      <c r="B179">
        <v>400</v>
      </c>
      <c r="C179">
        <v>105</v>
      </c>
      <c r="D179">
        <v>4</v>
      </c>
      <c r="E179" s="28">
        <v>2.5999999999999998E-5</v>
      </c>
      <c r="F179" s="28">
        <v>92.25</v>
      </c>
      <c r="G179" s="28">
        <v>51.5</v>
      </c>
      <c r="H179" s="28">
        <v>0.5582655826558266</v>
      </c>
      <c r="I179" s="28">
        <v>70.388300000000001</v>
      </c>
      <c r="J179" s="28">
        <v>29.611699999999999</v>
      </c>
      <c r="K179" s="28">
        <v>75.238100000000003</v>
      </c>
      <c r="L179" s="28">
        <v>74</v>
      </c>
      <c r="M179" s="28">
        <v>100</v>
      </c>
      <c r="N179" s="28">
        <v>1368.25602</v>
      </c>
      <c r="O179" s="28">
        <v>208.1</v>
      </c>
      <c r="P179" s="28">
        <v>1159.9000000000001</v>
      </c>
      <c r="Q179" s="28">
        <v>0.25602000000000003</v>
      </c>
      <c r="R179" s="28">
        <v>153.352734</v>
      </c>
    </row>
    <row r="180" spans="1:18" x14ac:dyDescent="0.25">
      <c r="A180" t="s">
        <v>18</v>
      </c>
      <c r="B180">
        <v>400</v>
      </c>
      <c r="C180">
        <v>105</v>
      </c>
      <c r="D180">
        <v>4</v>
      </c>
      <c r="E180" s="28">
        <v>2.5999999999999998E-5</v>
      </c>
      <c r="F180" s="28">
        <v>92.25</v>
      </c>
      <c r="G180" s="28">
        <v>51.5</v>
      </c>
      <c r="H180" s="28">
        <v>0.5582655826558266</v>
      </c>
      <c r="I180" s="28">
        <v>66.504900000000006</v>
      </c>
      <c r="J180" s="28">
        <v>33.495100000000001</v>
      </c>
      <c r="K180" s="28">
        <v>74.285700000000006</v>
      </c>
      <c r="L180" s="28">
        <v>73</v>
      </c>
      <c r="M180" s="28">
        <v>100</v>
      </c>
      <c r="N180" s="28">
        <v>1384.85304</v>
      </c>
      <c r="O180" s="28">
        <v>208.1</v>
      </c>
      <c r="P180" s="28">
        <v>1176.5</v>
      </c>
      <c r="Q180" s="28">
        <v>0.25303999999999999</v>
      </c>
      <c r="R180" s="28">
        <v>157.198432</v>
      </c>
    </row>
    <row r="181" spans="1:18" x14ac:dyDescent="0.25">
      <c r="A181" t="s">
        <v>18</v>
      </c>
      <c r="B181">
        <v>400</v>
      </c>
      <c r="C181">
        <v>105</v>
      </c>
      <c r="D181">
        <v>4</v>
      </c>
      <c r="E181" s="28">
        <v>2.6999999999999999E-5</v>
      </c>
      <c r="F181" s="28">
        <v>92.25</v>
      </c>
      <c r="G181" s="28">
        <v>50.5</v>
      </c>
      <c r="H181" s="28">
        <v>0.54742547425474253</v>
      </c>
      <c r="I181" s="28">
        <v>66.336600000000004</v>
      </c>
      <c r="J181" s="28">
        <v>33.663400000000003</v>
      </c>
      <c r="K181" s="28">
        <v>76.1905</v>
      </c>
      <c r="L181" s="28">
        <v>75</v>
      </c>
      <c r="M181" s="28">
        <v>100</v>
      </c>
      <c r="N181" s="28">
        <v>1383.2547</v>
      </c>
      <c r="O181" s="28">
        <v>208.1</v>
      </c>
      <c r="P181" s="28">
        <v>1174.9000000000001</v>
      </c>
      <c r="Q181" s="28">
        <v>0.25469999999999998</v>
      </c>
      <c r="R181" s="28">
        <v>160.24635699999999</v>
      </c>
    </row>
    <row r="182" spans="1:18" x14ac:dyDescent="0.25">
      <c r="A182" t="s">
        <v>18</v>
      </c>
      <c r="B182">
        <v>400</v>
      </c>
      <c r="C182">
        <v>105</v>
      </c>
      <c r="D182">
        <v>4</v>
      </c>
      <c r="E182" s="28">
        <v>2.5999999999999998E-5</v>
      </c>
      <c r="F182" s="28">
        <v>92.25</v>
      </c>
      <c r="G182" s="28">
        <v>49.25</v>
      </c>
      <c r="H182" s="28">
        <v>0.53387533875338755</v>
      </c>
      <c r="I182" s="28">
        <v>70.558400000000006</v>
      </c>
      <c r="J182" s="28">
        <v>29.441600000000001</v>
      </c>
      <c r="K182" s="28">
        <v>76.1905</v>
      </c>
      <c r="L182" s="28">
        <v>75</v>
      </c>
      <c r="M182" s="28">
        <v>100</v>
      </c>
      <c r="N182" s="28">
        <v>1423.95499</v>
      </c>
      <c r="O182" s="28">
        <v>208.1</v>
      </c>
      <c r="P182" s="28">
        <v>1215.5999999999999</v>
      </c>
      <c r="Q182" s="28">
        <v>0.25498999999999999</v>
      </c>
      <c r="R182" s="28">
        <v>153.315485</v>
      </c>
    </row>
    <row r="183" spans="1:18" x14ac:dyDescent="0.25">
      <c r="A183" t="s">
        <v>18</v>
      </c>
      <c r="B183">
        <v>400</v>
      </c>
      <c r="C183">
        <v>105</v>
      </c>
      <c r="D183">
        <v>4</v>
      </c>
      <c r="E183" s="28">
        <v>2.5000000000000001E-5</v>
      </c>
      <c r="F183" s="28">
        <v>92.25</v>
      </c>
      <c r="G183" s="28">
        <v>51.25</v>
      </c>
      <c r="H183" s="28">
        <v>0.55555555555555558</v>
      </c>
      <c r="I183" s="28">
        <v>71.219499999999996</v>
      </c>
      <c r="J183" s="28">
        <v>28.7805</v>
      </c>
      <c r="K183" s="28">
        <v>79.047600000000003</v>
      </c>
      <c r="L183" s="28">
        <v>78</v>
      </c>
      <c r="M183" s="28">
        <v>100</v>
      </c>
      <c r="N183" s="28">
        <v>1384.1601000000001</v>
      </c>
      <c r="O183" s="28">
        <v>208.1</v>
      </c>
      <c r="P183" s="28">
        <v>1175.8</v>
      </c>
      <c r="Q183" s="28">
        <v>0.2601</v>
      </c>
      <c r="R183" s="28">
        <v>150.020993</v>
      </c>
    </row>
    <row r="184" spans="1:18" x14ac:dyDescent="0.25">
      <c r="A184" t="s">
        <v>18</v>
      </c>
      <c r="B184">
        <v>400</v>
      </c>
      <c r="C184">
        <v>105</v>
      </c>
      <c r="D184">
        <v>4</v>
      </c>
      <c r="E184" s="28">
        <v>2.5000000000000001E-5</v>
      </c>
      <c r="F184" s="28">
        <v>92.25</v>
      </c>
      <c r="G184" s="28">
        <v>49</v>
      </c>
      <c r="H184" s="28">
        <v>0.53116531165311653</v>
      </c>
      <c r="I184" s="28">
        <v>67.346900000000005</v>
      </c>
      <c r="J184" s="28">
        <v>32.653100000000002</v>
      </c>
      <c r="K184" s="28">
        <v>75.238100000000003</v>
      </c>
      <c r="L184" s="28">
        <v>74</v>
      </c>
      <c r="M184" s="28">
        <v>100</v>
      </c>
      <c r="N184" s="28">
        <v>1446.4538</v>
      </c>
      <c r="O184" s="28">
        <v>208.1</v>
      </c>
      <c r="P184" s="28">
        <v>1238.0999999999999</v>
      </c>
      <c r="Q184" s="28">
        <v>0.25380000000000003</v>
      </c>
      <c r="R184" s="28">
        <v>155.53735499999999</v>
      </c>
    </row>
    <row r="185" spans="1:18" x14ac:dyDescent="0.25">
      <c r="A185" t="s">
        <v>18</v>
      </c>
      <c r="B185">
        <v>400</v>
      </c>
      <c r="C185">
        <v>105</v>
      </c>
      <c r="D185">
        <v>4</v>
      </c>
      <c r="E185" s="28">
        <v>2.4000000000000001E-5</v>
      </c>
      <c r="F185" s="28">
        <v>92.25</v>
      </c>
      <c r="G185" s="28">
        <v>47</v>
      </c>
      <c r="H185" s="28">
        <v>0.50948509485094851</v>
      </c>
      <c r="I185" s="28">
        <v>68.085099999999997</v>
      </c>
      <c r="J185" s="28">
        <v>31.914899999999999</v>
      </c>
      <c r="K185" s="28">
        <v>71.428600000000003</v>
      </c>
      <c r="L185" s="28">
        <v>70</v>
      </c>
      <c r="M185" s="28">
        <v>100</v>
      </c>
      <c r="N185" s="28">
        <v>1480.0494000000001</v>
      </c>
      <c r="O185" s="28">
        <v>208.1</v>
      </c>
      <c r="P185" s="28">
        <v>1271.7</v>
      </c>
      <c r="Q185" s="28">
        <v>0.24940000000000001</v>
      </c>
      <c r="R185" s="28">
        <v>155.815866</v>
      </c>
    </row>
    <row r="186" spans="1:18" x14ac:dyDescent="0.25">
      <c r="A186" t="s">
        <v>18</v>
      </c>
      <c r="B186">
        <v>400</v>
      </c>
      <c r="C186">
        <v>105</v>
      </c>
      <c r="D186">
        <v>4</v>
      </c>
      <c r="E186" s="28">
        <v>2.5999999999999998E-5</v>
      </c>
      <c r="F186" s="28">
        <v>92.25</v>
      </c>
      <c r="G186" s="28">
        <v>51.5</v>
      </c>
      <c r="H186" s="28">
        <v>0.5582655826558266</v>
      </c>
      <c r="I186" s="28">
        <v>64.563100000000006</v>
      </c>
      <c r="J186" s="28">
        <v>35.436900000000001</v>
      </c>
      <c r="K186" s="28">
        <v>69.523799999999994</v>
      </c>
      <c r="L186" s="28">
        <v>68</v>
      </c>
      <c r="M186" s="28">
        <v>100</v>
      </c>
      <c r="N186" s="28">
        <v>1392.2471599999999</v>
      </c>
      <c r="O186" s="28">
        <v>208.1</v>
      </c>
      <c r="P186" s="28">
        <v>1183.9000000000001</v>
      </c>
      <c r="Q186" s="28">
        <v>0.24715999999999999</v>
      </c>
      <c r="R186" s="28">
        <v>160.26415399999999</v>
      </c>
    </row>
    <row r="187" spans="1:18" x14ac:dyDescent="0.25">
      <c r="A187" t="s">
        <v>18</v>
      </c>
      <c r="B187">
        <v>400</v>
      </c>
      <c r="C187">
        <v>105</v>
      </c>
      <c r="D187">
        <v>4</v>
      </c>
      <c r="E187" s="28">
        <v>2.5000000000000001E-5</v>
      </c>
      <c r="F187" s="28">
        <v>92.25</v>
      </c>
      <c r="G187" s="28">
        <v>47.25</v>
      </c>
      <c r="H187" s="28">
        <v>0.51219512195121952</v>
      </c>
      <c r="I187" s="28">
        <v>70.899500000000003</v>
      </c>
      <c r="J187" s="28">
        <v>29.1005</v>
      </c>
      <c r="K187" s="28">
        <v>78.095200000000006</v>
      </c>
      <c r="L187" s="28">
        <v>77</v>
      </c>
      <c r="M187" s="28">
        <v>100</v>
      </c>
      <c r="N187" s="28">
        <v>1494.1580100000001</v>
      </c>
      <c r="O187" s="28">
        <v>208.1</v>
      </c>
      <c r="P187" s="28">
        <v>1285.8</v>
      </c>
      <c r="Q187" s="28">
        <v>0.25801000000000002</v>
      </c>
      <c r="R187" s="28">
        <v>151.569952</v>
      </c>
    </row>
    <row r="188" spans="1:18" x14ac:dyDescent="0.25">
      <c r="A188" t="s">
        <v>18</v>
      </c>
      <c r="B188">
        <v>400</v>
      </c>
      <c r="C188">
        <v>105</v>
      </c>
      <c r="D188">
        <v>4</v>
      </c>
      <c r="E188" s="28">
        <v>2.5000000000000001E-5</v>
      </c>
      <c r="F188" s="28">
        <v>92.25</v>
      </c>
      <c r="G188" s="28">
        <v>49.5</v>
      </c>
      <c r="H188" s="28">
        <v>0.53658536585365857</v>
      </c>
      <c r="I188" s="28">
        <v>68.686899999999994</v>
      </c>
      <c r="J188" s="28">
        <v>31.313099999999999</v>
      </c>
      <c r="K188" s="28">
        <v>79.047600000000003</v>
      </c>
      <c r="L188" s="28">
        <v>78</v>
      </c>
      <c r="M188" s="28">
        <v>100</v>
      </c>
      <c r="N188" s="28">
        <v>1430.05729</v>
      </c>
      <c r="O188" s="28">
        <v>208.1</v>
      </c>
      <c r="P188" s="28">
        <v>1221.7</v>
      </c>
      <c r="Q188" s="28">
        <v>0.25729000000000002</v>
      </c>
      <c r="R188" s="28">
        <v>154.245858</v>
      </c>
    </row>
    <row r="189" spans="1:18" x14ac:dyDescent="0.25">
      <c r="A189" t="s">
        <v>18</v>
      </c>
      <c r="B189">
        <v>400</v>
      </c>
      <c r="C189">
        <v>105</v>
      </c>
      <c r="D189">
        <v>4</v>
      </c>
      <c r="E189" s="28">
        <v>2.5000000000000001E-5</v>
      </c>
      <c r="F189" s="28">
        <v>92.25</v>
      </c>
      <c r="G189" s="28">
        <v>48.75</v>
      </c>
      <c r="H189" s="28">
        <v>0.52845528455284552</v>
      </c>
      <c r="I189" s="28">
        <v>69.743600000000001</v>
      </c>
      <c r="J189" s="28">
        <v>30.256399999999999</v>
      </c>
      <c r="K189" s="28">
        <v>75.238100000000003</v>
      </c>
      <c r="L189" s="28">
        <v>74</v>
      </c>
      <c r="M189" s="28">
        <v>100</v>
      </c>
      <c r="N189" s="28">
        <v>1463.7545399999999</v>
      </c>
      <c r="O189" s="28">
        <v>208.1</v>
      </c>
      <c r="P189" s="28">
        <v>1255.4000000000001</v>
      </c>
      <c r="Q189" s="28">
        <v>0.25453999999999999</v>
      </c>
      <c r="R189" s="28">
        <v>152.08099200000001</v>
      </c>
    </row>
    <row r="190" spans="1:18" x14ac:dyDescent="0.25">
      <c r="A190" t="s">
        <v>18</v>
      </c>
      <c r="B190">
        <v>400</v>
      </c>
      <c r="C190">
        <v>105</v>
      </c>
      <c r="D190">
        <v>4</v>
      </c>
      <c r="E190" s="28">
        <v>2.5999999999999998E-5</v>
      </c>
      <c r="F190" s="28">
        <v>92.25</v>
      </c>
      <c r="G190" s="28">
        <v>51.5</v>
      </c>
      <c r="H190" s="28">
        <v>0.5582655826558266</v>
      </c>
      <c r="I190" s="28">
        <v>66.990300000000005</v>
      </c>
      <c r="J190" s="28">
        <v>33.009700000000002</v>
      </c>
      <c r="K190" s="28">
        <v>72.381</v>
      </c>
      <c r="L190" s="28">
        <v>71</v>
      </c>
      <c r="M190" s="28">
        <v>100</v>
      </c>
      <c r="N190" s="28">
        <v>1379.6514500000001</v>
      </c>
      <c r="O190" s="28">
        <v>208.1</v>
      </c>
      <c r="P190" s="28">
        <v>1171.3</v>
      </c>
      <c r="Q190" s="28">
        <v>0.25145000000000001</v>
      </c>
      <c r="R190" s="28">
        <v>157.922979</v>
      </c>
    </row>
    <row r="191" spans="1:18" x14ac:dyDescent="0.25">
      <c r="A191" t="s">
        <v>18</v>
      </c>
      <c r="B191">
        <v>400</v>
      </c>
      <c r="C191">
        <v>105</v>
      </c>
      <c r="D191">
        <v>4</v>
      </c>
      <c r="E191" s="28">
        <v>2.5000000000000001E-5</v>
      </c>
      <c r="F191" s="28">
        <v>92.25</v>
      </c>
      <c r="G191" s="28">
        <v>48.25</v>
      </c>
      <c r="H191" s="28">
        <v>0.52303523035230348</v>
      </c>
      <c r="I191" s="28">
        <v>71.502600000000001</v>
      </c>
      <c r="J191" s="28">
        <v>28.497399999999999</v>
      </c>
      <c r="K191" s="28">
        <v>75.238100000000003</v>
      </c>
      <c r="L191" s="28">
        <v>74</v>
      </c>
      <c r="M191" s="28">
        <v>100</v>
      </c>
      <c r="N191" s="28">
        <v>1476.75576</v>
      </c>
      <c r="O191" s="28">
        <v>208.1</v>
      </c>
      <c r="P191" s="28">
        <v>1268.4000000000001</v>
      </c>
      <c r="Q191" s="28">
        <v>0.25575999999999999</v>
      </c>
      <c r="R191" s="28">
        <v>151.11738500000001</v>
      </c>
    </row>
    <row r="192" spans="1:18" x14ac:dyDescent="0.25">
      <c r="A192" t="s">
        <v>18</v>
      </c>
      <c r="B192">
        <v>400</v>
      </c>
      <c r="C192">
        <v>105</v>
      </c>
      <c r="D192">
        <v>4</v>
      </c>
      <c r="E192" s="28">
        <v>2.5000000000000001E-5</v>
      </c>
      <c r="F192" s="28">
        <v>92.25</v>
      </c>
      <c r="G192" s="28">
        <v>48.75</v>
      </c>
      <c r="H192" s="28">
        <v>0.52845528455284552</v>
      </c>
      <c r="I192" s="28">
        <v>69.230800000000002</v>
      </c>
      <c r="J192" s="28">
        <v>30.769200000000001</v>
      </c>
      <c r="K192" s="28">
        <v>71.428600000000003</v>
      </c>
      <c r="L192" s="28">
        <v>70</v>
      </c>
      <c r="M192" s="28">
        <v>100</v>
      </c>
      <c r="N192" s="28">
        <v>1450.7499600000001</v>
      </c>
      <c r="O192" s="28">
        <v>208.1</v>
      </c>
      <c r="P192" s="28">
        <v>1242.4000000000001</v>
      </c>
      <c r="Q192" s="28">
        <v>0.24995999999999999</v>
      </c>
      <c r="R192" s="28">
        <v>154.47138000000001</v>
      </c>
    </row>
    <row r="193" spans="1:18" x14ac:dyDescent="0.25">
      <c r="A193" t="s">
        <v>18</v>
      </c>
      <c r="B193">
        <v>400</v>
      </c>
      <c r="C193">
        <v>105</v>
      </c>
      <c r="D193">
        <v>4</v>
      </c>
      <c r="E193" s="28">
        <v>2.4000000000000001E-5</v>
      </c>
      <c r="F193" s="28">
        <v>92.25</v>
      </c>
      <c r="G193" s="28">
        <v>47</v>
      </c>
      <c r="H193" s="28">
        <v>0.50948509485094851</v>
      </c>
      <c r="I193" s="28">
        <v>67.553200000000004</v>
      </c>
      <c r="J193" s="28">
        <v>32.446800000000003</v>
      </c>
      <c r="K193" s="28">
        <v>73.333299999999994</v>
      </c>
      <c r="L193" s="28">
        <v>72</v>
      </c>
      <c r="M193" s="28">
        <v>100</v>
      </c>
      <c r="N193" s="28">
        <v>1453.8521699999999</v>
      </c>
      <c r="O193" s="28">
        <v>208.1</v>
      </c>
      <c r="P193" s="28">
        <v>1245.5</v>
      </c>
      <c r="Q193" s="28">
        <v>0.25217000000000001</v>
      </c>
      <c r="R193" s="28">
        <v>159.834081</v>
      </c>
    </row>
    <row r="194" spans="1:18" x14ac:dyDescent="0.25">
      <c r="A194" t="s">
        <v>18</v>
      </c>
      <c r="B194">
        <v>400</v>
      </c>
      <c r="C194">
        <v>105</v>
      </c>
      <c r="D194">
        <v>4</v>
      </c>
      <c r="E194" s="28">
        <v>2.5000000000000001E-5</v>
      </c>
      <c r="F194" s="28">
        <v>92.25</v>
      </c>
      <c r="G194" s="28">
        <v>49.5</v>
      </c>
      <c r="H194" s="28">
        <v>0.53658536585365857</v>
      </c>
      <c r="I194" s="28">
        <v>69.697000000000003</v>
      </c>
      <c r="J194" s="28">
        <v>30.303000000000001</v>
      </c>
      <c r="K194" s="28">
        <v>79.047600000000003</v>
      </c>
      <c r="L194" s="28">
        <v>78</v>
      </c>
      <c r="M194" s="28">
        <v>100</v>
      </c>
      <c r="N194" s="28">
        <v>1420.8586</v>
      </c>
      <c r="O194" s="28">
        <v>208.1</v>
      </c>
      <c r="P194" s="28">
        <v>1212.5</v>
      </c>
      <c r="Q194" s="28">
        <v>0.2586</v>
      </c>
      <c r="R194" s="28">
        <v>154.91653600000001</v>
      </c>
    </row>
    <row r="195" spans="1:18" x14ac:dyDescent="0.25">
      <c r="A195" t="s">
        <v>18</v>
      </c>
      <c r="B195">
        <v>400</v>
      </c>
      <c r="C195">
        <v>105</v>
      </c>
      <c r="D195">
        <v>4</v>
      </c>
      <c r="E195" s="28">
        <v>2.5000000000000001E-5</v>
      </c>
      <c r="F195" s="28">
        <v>92.25</v>
      </c>
      <c r="G195" s="28">
        <v>48.5</v>
      </c>
      <c r="H195" s="28">
        <v>0.5257452574525745</v>
      </c>
      <c r="I195" s="28">
        <v>67.525800000000004</v>
      </c>
      <c r="J195" s="28">
        <v>32.474200000000003</v>
      </c>
      <c r="K195" s="28">
        <v>72.381</v>
      </c>
      <c r="L195" s="28">
        <v>71</v>
      </c>
      <c r="M195" s="28">
        <v>100</v>
      </c>
      <c r="N195" s="28">
        <v>1462.4516599999999</v>
      </c>
      <c r="O195" s="28">
        <v>208.1</v>
      </c>
      <c r="P195" s="28">
        <v>1254.0999999999999</v>
      </c>
      <c r="Q195" s="28">
        <v>0.25165999999999999</v>
      </c>
      <c r="R195" s="28">
        <v>155.803696</v>
      </c>
    </row>
    <row r="196" spans="1:18" x14ac:dyDescent="0.25">
      <c r="A196" t="s">
        <v>18</v>
      </c>
      <c r="B196">
        <v>400</v>
      </c>
      <c r="C196">
        <v>105</v>
      </c>
      <c r="D196">
        <v>4</v>
      </c>
      <c r="E196" s="28">
        <v>2.5999999999999998E-5</v>
      </c>
      <c r="F196" s="28">
        <v>92.25</v>
      </c>
      <c r="G196" s="28">
        <v>53.75</v>
      </c>
      <c r="H196" s="28">
        <v>0.58265582655826553</v>
      </c>
      <c r="I196" s="28">
        <v>69.767399999999995</v>
      </c>
      <c r="J196" s="28">
        <v>30.232600000000001</v>
      </c>
      <c r="K196" s="28">
        <v>75.238100000000003</v>
      </c>
      <c r="L196" s="28">
        <v>74</v>
      </c>
      <c r="M196" s="28">
        <v>100</v>
      </c>
      <c r="N196" s="28">
        <v>1311.9562100000001</v>
      </c>
      <c r="O196" s="28">
        <v>208.1</v>
      </c>
      <c r="P196" s="28">
        <v>1103.5999999999999</v>
      </c>
      <c r="Q196" s="28">
        <v>0.25620999999999999</v>
      </c>
      <c r="R196" s="28">
        <v>151.00077400000001</v>
      </c>
    </row>
    <row r="197" spans="1:18" x14ac:dyDescent="0.25">
      <c r="A197" t="s">
        <v>18</v>
      </c>
      <c r="B197">
        <v>400</v>
      </c>
      <c r="C197">
        <v>105</v>
      </c>
      <c r="D197">
        <v>4</v>
      </c>
      <c r="E197" s="28">
        <v>2.5999999999999998E-5</v>
      </c>
      <c r="F197" s="28">
        <v>92.25</v>
      </c>
      <c r="G197" s="28">
        <v>52.5</v>
      </c>
      <c r="H197" s="28">
        <v>0.56910569105691056</v>
      </c>
      <c r="I197" s="28">
        <v>71.428600000000003</v>
      </c>
      <c r="J197" s="28">
        <v>28.571400000000001</v>
      </c>
      <c r="K197" s="28">
        <v>79.047600000000003</v>
      </c>
      <c r="L197" s="28">
        <v>78</v>
      </c>
      <c r="M197" s="28">
        <v>100</v>
      </c>
      <c r="N197" s="28">
        <v>1359.45875</v>
      </c>
      <c r="O197" s="28">
        <v>208.1</v>
      </c>
      <c r="P197" s="28">
        <v>1151.0999999999999</v>
      </c>
      <c r="Q197" s="28">
        <v>0.25874999999999998</v>
      </c>
      <c r="R197" s="28">
        <v>151.53917799999999</v>
      </c>
    </row>
    <row r="198" spans="1:18" x14ac:dyDescent="0.25">
      <c r="A198" t="s">
        <v>18</v>
      </c>
      <c r="B198">
        <v>400</v>
      </c>
      <c r="C198">
        <v>105</v>
      </c>
      <c r="D198">
        <v>4</v>
      </c>
      <c r="E198" s="28">
        <v>2.5999999999999998E-5</v>
      </c>
      <c r="F198" s="28">
        <v>92.25</v>
      </c>
      <c r="G198" s="28">
        <v>50</v>
      </c>
      <c r="H198" s="28">
        <v>0.54200542005420049</v>
      </c>
      <c r="I198" s="28">
        <v>66</v>
      </c>
      <c r="J198" s="28">
        <v>34</v>
      </c>
      <c r="K198" s="28">
        <v>70.476200000000006</v>
      </c>
      <c r="L198" s="28">
        <v>69</v>
      </c>
      <c r="M198" s="28">
        <v>100</v>
      </c>
      <c r="N198" s="28">
        <v>1427.4484299999999</v>
      </c>
      <c r="O198" s="28">
        <v>208.1</v>
      </c>
      <c r="P198" s="28">
        <v>1219.0999999999999</v>
      </c>
      <c r="Q198" s="28">
        <v>0.24843000000000001</v>
      </c>
      <c r="R198" s="28">
        <v>156.09859</v>
      </c>
    </row>
    <row r="199" spans="1:18" x14ac:dyDescent="0.25">
      <c r="A199" t="s">
        <v>18</v>
      </c>
      <c r="B199">
        <v>400</v>
      </c>
      <c r="C199">
        <v>105</v>
      </c>
      <c r="D199">
        <v>4</v>
      </c>
      <c r="E199" s="28">
        <v>2.5999999999999998E-5</v>
      </c>
      <c r="F199" s="28">
        <v>92.25</v>
      </c>
      <c r="G199" s="28">
        <v>50.25</v>
      </c>
      <c r="H199" s="28">
        <v>0.54471544715447151</v>
      </c>
      <c r="I199" s="28">
        <v>70.646799999999999</v>
      </c>
      <c r="J199" s="28">
        <v>29.353200000000001</v>
      </c>
      <c r="K199" s="28">
        <v>76.1905</v>
      </c>
      <c r="L199" s="28">
        <v>75</v>
      </c>
      <c r="M199" s="28">
        <v>100</v>
      </c>
      <c r="N199" s="28">
        <v>1414.5561700000001</v>
      </c>
      <c r="O199" s="28">
        <v>208.1</v>
      </c>
      <c r="P199" s="28">
        <v>1206.2</v>
      </c>
      <c r="Q199" s="28">
        <v>0.25617000000000001</v>
      </c>
      <c r="R199" s="28">
        <v>151.49939900000001</v>
      </c>
    </row>
    <row r="200" spans="1:18" x14ac:dyDescent="0.25">
      <c r="A200" t="s">
        <v>18</v>
      </c>
      <c r="B200">
        <v>400</v>
      </c>
      <c r="C200">
        <v>105</v>
      </c>
      <c r="D200">
        <v>4</v>
      </c>
      <c r="E200" s="28">
        <v>2.5000000000000001E-5</v>
      </c>
      <c r="F200" s="28">
        <v>92.25</v>
      </c>
      <c r="G200" s="28">
        <v>49</v>
      </c>
      <c r="H200" s="28">
        <v>0.53116531165311653</v>
      </c>
      <c r="I200" s="28">
        <v>69.387799999999999</v>
      </c>
      <c r="J200" s="28">
        <v>30.612200000000001</v>
      </c>
      <c r="K200" s="28">
        <v>75.238100000000003</v>
      </c>
      <c r="L200" s="28">
        <v>74</v>
      </c>
      <c r="M200" s="28">
        <v>100</v>
      </c>
      <c r="N200" s="28">
        <v>1449.0551700000001</v>
      </c>
      <c r="O200" s="28">
        <v>208.1</v>
      </c>
      <c r="P200" s="28">
        <v>1240.7</v>
      </c>
      <c r="Q200" s="28">
        <v>0.25517000000000001</v>
      </c>
      <c r="R200" s="28">
        <v>153.32453699999999</v>
      </c>
    </row>
    <row r="201" spans="1:18" x14ac:dyDescent="0.25">
      <c r="A201" t="s">
        <v>18</v>
      </c>
      <c r="B201">
        <v>400</v>
      </c>
      <c r="C201">
        <v>105</v>
      </c>
      <c r="D201">
        <v>4</v>
      </c>
      <c r="E201" s="28">
        <v>2.5000000000000001E-5</v>
      </c>
      <c r="F201" s="28">
        <v>92.25</v>
      </c>
      <c r="G201" s="28">
        <v>49.25</v>
      </c>
      <c r="H201" s="28">
        <v>0.53387533875338755</v>
      </c>
      <c r="I201" s="28">
        <v>68.020300000000006</v>
      </c>
      <c r="J201" s="28">
        <v>31.979700000000001</v>
      </c>
      <c r="K201" s="28">
        <v>75.238100000000003</v>
      </c>
      <c r="L201" s="28">
        <v>74</v>
      </c>
      <c r="M201" s="28">
        <v>100</v>
      </c>
      <c r="N201" s="28">
        <v>1423.1538599999999</v>
      </c>
      <c r="O201" s="28">
        <v>208.1</v>
      </c>
      <c r="P201" s="28">
        <v>1214.8</v>
      </c>
      <c r="Q201" s="28">
        <v>0.25385999999999997</v>
      </c>
      <c r="R201" s="28">
        <v>157.11891600000001</v>
      </c>
    </row>
    <row r="202" spans="1:18" x14ac:dyDescent="0.25">
      <c r="A202" t="s">
        <v>18</v>
      </c>
      <c r="B202">
        <v>400</v>
      </c>
      <c r="C202">
        <v>105</v>
      </c>
      <c r="D202">
        <v>4</v>
      </c>
      <c r="E202" s="28">
        <v>2.6999999999999999E-5</v>
      </c>
      <c r="F202" s="28">
        <v>92.25</v>
      </c>
      <c r="G202" s="28">
        <v>52.5</v>
      </c>
      <c r="H202" s="28">
        <v>0.56910569105691056</v>
      </c>
      <c r="I202" s="28">
        <v>66.1905</v>
      </c>
      <c r="J202" s="28">
        <v>33.8095</v>
      </c>
      <c r="K202" s="28">
        <v>71.428600000000003</v>
      </c>
      <c r="L202" s="28">
        <v>70</v>
      </c>
      <c r="M202" s="28">
        <v>100</v>
      </c>
      <c r="N202" s="28">
        <v>1368.2505900000001</v>
      </c>
      <c r="O202" s="28">
        <v>208.1</v>
      </c>
      <c r="P202" s="28">
        <v>1159.9000000000001</v>
      </c>
      <c r="Q202" s="28">
        <v>0.25058999999999998</v>
      </c>
      <c r="R202" s="28">
        <v>155.293868</v>
      </c>
    </row>
    <row r="203" spans="1:18" x14ac:dyDescent="0.25">
      <c r="A203" t="s">
        <v>18</v>
      </c>
      <c r="B203">
        <v>400</v>
      </c>
      <c r="C203">
        <v>105</v>
      </c>
      <c r="D203">
        <v>4</v>
      </c>
      <c r="E203" s="28">
        <v>2.5999999999999998E-5</v>
      </c>
      <c r="F203" s="28">
        <v>92.25</v>
      </c>
      <c r="G203" s="28">
        <v>53</v>
      </c>
      <c r="H203" s="28">
        <v>0.57452574525745259</v>
      </c>
      <c r="I203" s="28">
        <v>71.698099999999997</v>
      </c>
      <c r="J203" s="28">
        <v>28.3019</v>
      </c>
      <c r="K203" s="28">
        <v>76.1905</v>
      </c>
      <c r="L203" s="28">
        <v>75</v>
      </c>
      <c r="M203" s="28">
        <v>100</v>
      </c>
      <c r="N203" s="28">
        <v>1330.85682</v>
      </c>
      <c r="O203" s="28">
        <v>208.1</v>
      </c>
      <c r="P203" s="28">
        <v>1122.5</v>
      </c>
      <c r="Q203" s="28">
        <v>0.25681999999999999</v>
      </c>
      <c r="R203" s="28">
        <v>151.91071199999999</v>
      </c>
    </row>
    <row r="204" spans="1:18" x14ac:dyDescent="0.25">
      <c r="A204" t="s">
        <v>18</v>
      </c>
      <c r="B204">
        <v>400</v>
      </c>
      <c r="C204">
        <v>105</v>
      </c>
      <c r="D204">
        <v>4</v>
      </c>
      <c r="E204" s="28">
        <v>2.4000000000000001E-5</v>
      </c>
      <c r="F204" s="28">
        <v>92.25</v>
      </c>
      <c r="G204" s="28">
        <v>47.75</v>
      </c>
      <c r="H204" s="28">
        <v>0.51761517615176156</v>
      </c>
      <c r="I204" s="28">
        <v>72.774900000000002</v>
      </c>
      <c r="J204" s="28">
        <v>27.225100000000001</v>
      </c>
      <c r="K204" s="28">
        <v>76.1905</v>
      </c>
      <c r="L204" s="28">
        <v>75</v>
      </c>
      <c r="M204" s="28">
        <v>100</v>
      </c>
      <c r="N204" s="28">
        <v>1473.5558000000001</v>
      </c>
      <c r="O204" s="28">
        <v>208.1</v>
      </c>
      <c r="P204" s="28">
        <v>1265.2</v>
      </c>
      <c r="Q204" s="28">
        <v>0.25580000000000003</v>
      </c>
      <c r="R204" s="28">
        <v>148.946268</v>
      </c>
    </row>
    <row r="205" spans="1:18" x14ac:dyDescent="0.25">
      <c r="A205" t="s">
        <v>18</v>
      </c>
      <c r="B205">
        <v>400</v>
      </c>
      <c r="C205">
        <v>105</v>
      </c>
      <c r="D205">
        <v>4</v>
      </c>
      <c r="E205" s="28">
        <v>2.5000000000000001E-5</v>
      </c>
      <c r="F205" s="28">
        <v>92.25</v>
      </c>
      <c r="G205" s="28">
        <v>49</v>
      </c>
      <c r="H205" s="28">
        <v>0.53116531165311653</v>
      </c>
      <c r="I205" s="28">
        <v>69.897999999999996</v>
      </c>
      <c r="J205" s="28">
        <v>30.102</v>
      </c>
      <c r="K205" s="28">
        <v>75.238100000000003</v>
      </c>
      <c r="L205" s="28">
        <v>74</v>
      </c>
      <c r="M205" s="28">
        <v>100</v>
      </c>
      <c r="N205" s="28">
        <v>1448.4542799999999</v>
      </c>
      <c r="O205" s="28">
        <v>208.1</v>
      </c>
      <c r="P205" s="28">
        <v>1240.0999999999999</v>
      </c>
      <c r="Q205" s="28">
        <v>0.25428000000000001</v>
      </c>
      <c r="R205" s="28">
        <v>152.30987300000001</v>
      </c>
    </row>
    <row r="206" spans="1:18" x14ac:dyDescent="0.25">
      <c r="A206" t="s">
        <v>18</v>
      </c>
      <c r="B206">
        <v>400</v>
      </c>
      <c r="C206">
        <v>105</v>
      </c>
      <c r="D206">
        <v>4</v>
      </c>
      <c r="E206" s="28">
        <v>2.5000000000000001E-5</v>
      </c>
      <c r="F206" s="28">
        <v>92.25</v>
      </c>
      <c r="G206" s="28">
        <v>50</v>
      </c>
      <c r="H206" s="28">
        <v>0.54200542005420049</v>
      </c>
      <c r="I206" s="28">
        <v>67.5</v>
      </c>
      <c r="J206" s="28">
        <v>32.5</v>
      </c>
      <c r="K206" s="28">
        <v>72.381</v>
      </c>
      <c r="L206" s="28">
        <v>71</v>
      </c>
      <c r="M206" s="28">
        <v>100</v>
      </c>
      <c r="N206" s="28">
        <v>1387.65075</v>
      </c>
      <c r="O206" s="28">
        <v>208.1</v>
      </c>
      <c r="P206" s="28">
        <v>1179.3</v>
      </c>
      <c r="Q206" s="28">
        <v>0.25074999999999997</v>
      </c>
      <c r="R206" s="28">
        <v>157.862495</v>
      </c>
    </row>
    <row r="207" spans="1:18" x14ac:dyDescent="0.25">
      <c r="A207" t="s">
        <v>18</v>
      </c>
      <c r="B207">
        <v>400</v>
      </c>
      <c r="C207">
        <v>105</v>
      </c>
      <c r="D207">
        <v>4</v>
      </c>
      <c r="E207" s="28">
        <v>2.5000000000000001E-5</v>
      </c>
      <c r="F207" s="28">
        <v>92.25</v>
      </c>
      <c r="G207" s="28">
        <v>51.25</v>
      </c>
      <c r="H207" s="28">
        <v>0.55555555555555558</v>
      </c>
      <c r="I207" s="28">
        <v>71.707300000000004</v>
      </c>
      <c r="J207" s="28">
        <v>28.2927</v>
      </c>
      <c r="K207" s="28">
        <v>78.095200000000006</v>
      </c>
      <c r="L207" s="28">
        <v>77</v>
      </c>
      <c r="M207" s="28">
        <v>100</v>
      </c>
      <c r="N207" s="28">
        <v>1383.75809</v>
      </c>
      <c r="O207" s="28">
        <v>208.1</v>
      </c>
      <c r="P207" s="28">
        <v>1175.4000000000001</v>
      </c>
      <c r="Q207" s="28">
        <v>0.25808999999999999</v>
      </c>
      <c r="R207" s="28">
        <v>150.85173900000001</v>
      </c>
    </row>
    <row r="208" spans="1:18" x14ac:dyDescent="0.25">
      <c r="A208" t="s">
        <v>18</v>
      </c>
      <c r="B208">
        <v>400</v>
      </c>
      <c r="C208">
        <v>105</v>
      </c>
      <c r="D208">
        <v>4</v>
      </c>
      <c r="E208" s="28">
        <v>2.5999999999999998E-5</v>
      </c>
      <c r="F208" s="28">
        <v>92.25</v>
      </c>
      <c r="G208" s="28">
        <v>50.25</v>
      </c>
      <c r="H208" s="28">
        <v>0.54471544715447151</v>
      </c>
      <c r="I208" s="28">
        <v>72.636799999999994</v>
      </c>
      <c r="J208" s="28">
        <v>27.363199999999999</v>
      </c>
      <c r="K208" s="28">
        <v>76.1905</v>
      </c>
      <c r="L208" s="28">
        <v>75</v>
      </c>
      <c r="M208" s="28">
        <v>100</v>
      </c>
      <c r="N208" s="28">
        <v>1418.75666</v>
      </c>
      <c r="O208" s="28">
        <v>208.1</v>
      </c>
      <c r="P208" s="28">
        <v>1210.4000000000001</v>
      </c>
      <c r="Q208" s="28">
        <v>0.25666</v>
      </c>
      <c r="R208" s="28">
        <v>147.79297199999999</v>
      </c>
    </row>
    <row r="209" spans="1:18" x14ac:dyDescent="0.25">
      <c r="A209" t="s">
        <v>18</v>
      </c>
      <c r="B209">
        <v>400</v>
      </c>
      <c r="C209">
        <v>105</v>
      </c>
      <c r="D209">
        <v>4</v>
      </c>
      <c r="E209" s="28">
        <v>2.5000000000000001E-5</v>
      </c>
      <c r="F209" s="28">
        <v>92.25</v>
      </c>
      <c r="G209" s="28">
        <v>50</v>
      </c>
      <c r="H209" s="28">
        <v>0.54200542005420049</v>
      </c>
      <c r="I209" s="28">
        <v>73</v>
      </c>
      <c r="J209" s="28">
        <v>27</v>
      </c>
      <c r="K209" s="28">
        <v>79.047600000000003</v>
      </c>
      <c r="L209" s="28">
        <v>78</v>
      </c>
      <c r="M209" s="28">
        <v>100</v>
      </c>
      <c r="N209" s="28">
        <v>1418.6599699999999</v>
      </c>
      <c r="O209" s="28">
        <v>208.1</v>
      </c>
      <c r="P209" s="28">
        <v>1210.3</v>
      </c>
      <c r="Q209" s="28">
        <v>0.25996999999999998</v>
      </c>
      <c r="R209" s="28">
        <v>149.05822499999999</v>
      </c>
    </row>
    <row r="210" spans="1:18" x14ac:dyDescent="0.25">
      <c r="A210" t="s">
        <v>18</v>
      </c>
      <c r="B210">
        <v>400</v>
      </c>
      <c r="C210">
        <v>105</v>
      </c>
      <c r="D210">
        <v>4</v>
      </c>
      <c r="E210" s="28">
        <v>2.5000000000000001E-5</v>
      </c>
      <c r="F210" s="28">
        <v>92.25</v>
      </c>
      <c r="G210" s="28">
        <v>49.25</v>
      </c>
      <c r="H210" s="28">
        <v>0.53387533875338755</v>
      </c>
      <c r="I210" s="28">
        <v>64.974599999999995</v>
      </c>
      <c r="J210" s="28">
        <v>35.025399999999998</v>
      </c>
      <c r="K210" s="28">
        <v>70.476200000000006</v>
      </c>
      <c r="L210" s="28">
        <v>69</v>
      </c>
      <c r="M210" s="28">
        <v>100</v>
      </c>
      <c r="N210" s="28">
        <v>1428.74829</v>
      </c>
      <c r="O210" s="28">
        <v>208.1</v>
      </c>
      <c r="P210" s="28">
        <v>1220.4000000000001</v>
      </c>
      <c r="Q210" s="28">
        <v>0.24829000000000001</v>
      </c>
      <c r="R210" s="28">
        <v>160.43512699999999</v>
      </c>
    </row>
    <row r="211" spans="1:18" x14ac:dyDescent="0.25">
      <c r="A211" t="s">
        <v>18</v>
      </c>
      <c r="B211">
        <v>400</v>
      </c>
      <c r="C211">
        <v>105</v>
      </c>
      <c r="D211">
        <v>4</v>
      </c>
      <c r="E211" s="28">
        <v>2.5999999999999998E-5</v>
      </c>
      <c r="F211" s="28">
        <v>92.25</v>
      </c>
      <c r="G211" s="28">
        <v>50.75</v>
      </c>
      <c r="H211" s="28">
        <v>0.55013550135501355</v>
      </c>
      <c r="I211" s="28">
        <v>68.965500000000006</v>
      </c>
      <c r="J211" s="28">
        <v>31.034500000000001</v>
      </c>
      <c r="K211" s="28">
        <v>75.238100000000003</v>
      </c>
      <c r="L211" s="28">
        <v>74</v>
      </c>
      <c r="M211" s="28">
        <v>100</v>
      </c>
      <c r="N211" s="28">
        <v>1406.55459</v>
      </c>
      <c r="O211" s="28">
        <v>208.1</v>
      </c>
      <c r="P211" s="28">
        <v>1198.2</v>
      </c>
      <c r="Q211" s="28">
        <v>0.25458999999999998</v>
      </c>
      <c r="R211" s="28">
        <v>154.644936</v>
      </c>
    </row>
    <row r="212" spans="1:18" x14ac:dyDescent="0.25">
      <c r="A212" t="s">
        <v>18</v>
      </c>
      <c r="B212">
        <v>400</v>
      </c>
      <c r="C212">
        <v>105</v>
      </c>
      <c r="D212">
        <v>4</v>
      </c>
      <c r="E212" s="28">
        <v>2.5000000000000001E-5</v>
      </c>
      <c r="F212" s="28">
        <v>92.25</v>
      </c>
      <c r="G212" s="28">
        <v>52.75</v>
      </c>
      <c r="H212" s="28">
        <v>0.57181571815718157</v>
      </c>
      <c r="I212" s="28">
        <v>67.772499999999994</v>
      </c>
      <c r="J212" s="28">
        <v>32.227499999999999</v>
      </c>
      <c r="K212" s="28">
        <v>79.047600000000003</v>
      </c>
      <c r="L212" s="28">
        <v>78</v>
      </c>
      <c r="M212" s="28">
        <v>100</v>
      </c>
      <c r="N212" s="28">
        <v>1346.16031</v>
      </c>
      <c r="O212" s="28">
        <v>208.1</v>
      </c>
      <c r="P212" s="28">
        <v>1137.8</v>
      </c>
      <c r="Q212" s="28">
        <v>0.26030999999999999</v>
      </c>
      <c r="R212" s="28">
        <v>156.800411</v>
      </c>
    </row>
    <row r="213" spans="1:18" x14ac:dyDescent="0.25">
      <c r="A213" t="s">
        <v>18</v>
      </c>
      <c r="B213">
        <v>400</v>
      </c>
      <c r="C213">
        <v>105</v>
      </c>
      <c r="D213">
        <v>4</v>
      </c>
      <c r="E213" s="28">
        <v>2.4000000000000001E-5</v>
      </c>
      <c r="F213" s="28">
        <v>92.25</v>
      </c>
      <c r="G213" s="28">
        <v>48.75</v>
      </c>
      <c r="H213" s="28">
        <v>0.52845528455284552</v>
      </c>
      <c r="I213" s="28">
        <v>70.769199999999998</v>
      </c>
      <c r="J213" s="28">
        <v>29.230799999999999</v>
      </c>
      <c r="K213" s="28">
        <v>77.142899999999997</v>
      </c>
      <c r="L213" s="28">
        <v>76</v>
      </c>
      <c r="M213" s="28">
        <v>100</v>
      </c>
      <c r="N213" s="28">
        <v>1430.75675</v>
      </c>
      <c r="O213" s="28">
        <v>208.1</v>
      </c>
      <c r="P213" s="28">
        <v>1222.4000000000001</v>
      </c>
      <c r="Q213" s="28">
        <v>0.25674999999999998</v>
      </c>
      <c r="R213" s="28">
        <v>152.48671899999999</v>
      </c>
    </row>
    <row r="214" spans="1:18" x14ac:dyDescent="0.25">
      <c r="A214" t="s">
        <v>18</v>
      </c>
      <c r="B214">
        <v>400</v>
      </c>
      <c r="C214">
        <v>105</v>
      </c>
      <c r="D214">
        <v>4</v>
      </c>
      <c r="E214" s="28">
        <v>2.5999999999999998E-5</v>
      </c>
      <c r="F214" s="28">
        <v>92.25</v>
      </c>
      <c r="G214" s="28">
        <v>50</v>
      </c>
      <c r="H214" s="28">
        <v>0.54200542005420049</v>
      </c>
      <c r="I214" s="28">
        <v>64</v>
      </c>
      <c r="J214" s="28">
        <v>36</v>
      </c>
      <c r="K214" s="28">
        <v>77.142899999999997</v>
      </c>
      <c r="L214" s="28">
        <v>76</v>
      </c>
      <c r="M214" s="28">
        <v>100</v>
      </c>
      <c r="N214" s="28">
        <v>1412.25595</v>
      </c>
      <c r="O214" s="28">
        <v>208.1</v>
      </c>
      <c r="P214" s="28">
        <v>1203.9000000000001</v>
      </c>
      <c r="Q214" s="28">
        <v>0.25595000000000001</v>
      </c>
      <c r="R214" s="28">
        <v>163.89305400000001</v>
      </c>
    </row>
    <row r="215" spans="1:18" x14ac:dyDescent="0.25">
      <c r="A215" t="s">
        <v>18</v>
      </c>
      <c r="B215">
        <v>400</v>
      </c>
      <c r="C215">
        <v>105</v>
      </c>
      <c r="D215">
        <v>4</v>
      </c>
      <c r="E215" s="28">
        <v>2.6999999999999999E-5</v>
      </c>
      <c r="F215" s="28">
        <v>92.25</v>
      </c>
      <c r="G215" s="28">
        <v>52.5</v>
      </c>
      <c r="H215" s="28">
        <v>0.56910569105691056</v>
      </c>
      <c r="I215" s="28">
        <v>69.047600000000003</v>
      </c>
      <c r="J215" s="28">
        <v>30.952400000000001</v>
      </c>
      <c r="K215" s="28">
        <v>71.428600000000003</v>
      </c>
      <c r="L215" s="28">
        <v>70</v>
      </c>
      <c r="M215" s="28">
        <v>100</v>
      </c>
      <c r="N215" s="28">
        <v>1361.2508800000001</v>
      </c>
      <c r="O215" s="28">
        <v>208.1</v>
      </c>
      <c r="P215" s="28">
        <v>1152.9000000000001</v>
      </c>
      <c r="Q215" s="28">
        <v>0.25087999999999999</v>
      </c>
      <c r="R215" s="28">
        <v>154.61472599999999</v>
      </c>
    </row>
    <row r="216" spans="1:18" x14ac:dyDescent="0.25">
      <c r="A216" t="s">
        <v>18</v>
      </c>
      <c r="B216">
        <v>400</v>
      </c>
      <c r="C216">
        <v>105</v>
      </c>
      <c r="D216">
        <v>4</v>
      </c>
      <c r="E216" s="28">
        <v>2.5000000000000001E-5</v>
      </c>
      <c r="F216" s="28">
        <v>92.25</v>
      </c>
      <c r="G216" s="28">
        <v>46.5</v>
      </c>
      <c r="H216" s="28">
        <v>0.50406504065040647</v>
      </c>
      <c r="I216" s="28">
        <v>71.505399999999995</v>
      </c>
      <c r="J216" s="28">
        <v>28.494599999999998</v>
      </c>
      <c r="K216" s="28">
        <v>77.142899999999997</v>
      </c>
      <c r="L216" s="28">
        <v>76</v>
      </c>
      <c r="M216" s="28">
        <v>100</v>
      </c>
      <c r="N216" s="28">
        <v>1517.6564599999999</v>
      </c>
      <c r="O216" s="28">
        <v>208.1</v>
      </c>
      <c r="P216" s="28">
        <v>1309.3</v>
      </c>
      <c r="Q216" s="28">
        <v>0.25646000000000002</v>
      </c>
      <c r="R216" s="28">
        <v>151.20890399999999</v>
      </c>
    </row>
    <row r="217" spans="1:18" x14ac:dyDescent="0.25">
      <c r="A217" t="s">
        <v>18</v>
      </c>
      <c r="B217">
        <v>400</v>
      </c>
      <c r="C217">
        <v>105</v>
      </c>
      <c r="D217">
        <v>4</v>
      </c>
      <c r="E217" s="28">
        <v>2.8E-5</v>
      </c>
      <c r="F217" s="28">
        <v>92.25</v>
      </c>
      <c r="G217" s="28">
        <v>54.25</v>
      </c>
      <c r="H217" s="28">
        <v>0.58807588075880757</v>
      </c>
      <c r="I217" s="28">
        <v>66.820300000000003</v>
      </c>
      <c r="J217" s="28">
        <v>33.179699999999997</v>
      </c>
      <c r="K217" s="28">
        <v>76.1905</v>
      </c>
      <c r="L217" s="28">
        <v>75</v>
      </c>
      <c r="M217" s="28">
        <v>100</v>
      </c>
      <c r="N217" s="28">
        <v>1293.55513</v>
      </c>
      <c r="O217" s="28">
        <v>208.1</v>
      </c>
      <c r="P217" s="28">
        <v>1085.2</v>
      </c>
      <c r="Q217" s="28">
        <v>0.25513000000000002</v>
      </c>
      <c r="R217" s="28">
        <v>158.44435799999999</v>
      </c>
    </row>
    <row r="218" spans="1:18" x14ac:dyDescent="0.25">
      <c r="A218" t="s">
        <v>18</v>
      </c>
      <c r="B218">
        <v>400</v>
      </c>
      <c r="C218">
        <v>105</v>
      </c>
      <c r="D218">
        <v>4</v>
      </c>
      <c r="E218" s="28">
        <v>2.5000000000000001E-5</v>
      </c>
      <c r="F218" s="28">
        <v>92.25</v>
      </c>
      <c r="G218" s="28">
        <v>49.75</v>
      </c>
      <c r="H218" s="28">
        <v>0.53929539295392959</v>
      </c>
      <c r="I218" s="28">
        <v>68.844200000000001</v>
      </c>
      <c r="J218" s="28">
        <v>31.155799999999999</v>
      </c>
      <c r="K218" s="28">
        <v>77.142899999999997</v>
      </c>
      <c r="L218" s="28">
        <v>76</v>
      </c>
      <c r="M218" s="28">
        <v>100</v>
      </c>
      <c r="N218" s="28">
        <v>1450.7565400000001</v>
      </c>
      <c r="O218" s="28">
        <v>208.1</v>
      </c>
      <c r="P218" s="28">
        <v>1242.4000000000001</v>
      </c>
      <c r="Q218" s="28">
        <v>0.25653999999999999</v>
      </c>
      <c r="R218" s="28">
        <v>151.59784200000001</v>
      </c>
    </row>
    <row r="219" spans="1:18" x14ac:dyDescent="0.25">
      <c r="A219" t="s">
        <v>18</v>
      </c>
      <c r="B219">
        <v>400</v>
      </c>
      <c r="C219">
        <v>105</v>
      </c>
      <c r="D219">
        <v>4</v>
      </c>
      <c r="E219" s="28">
        <v>2.5999999999999998E-5</v>
      </c>
      <c r="F219" s="28">
        <v>92.25</v>
      </c>
      <c r="G219" s="28">
        <v>50.75</v>
      </c>
      <c r="H219" s="28">
        <v>0.55013550135501355</v>
      </c>
      <c r="I219" s="28">
        <v>68.472899999999996</v>
      </c>
      <c r="J219" s="28">
        <v>31.527100000000001</v>
      </c>
      <c r="K219" s="28">
        <v>79.047600000000003</v>
      </c>
      <c r="L219" s="28">
        <v>78</v>
      </c>
      <c r="M219" s="28">
        <v>100</v>
      </c>
      <c r="N219" s="28">
        <v>1390.9586400000001</v>
      </c>
      <c r="O219" s="28">
        <v>208.1</v>
      </c>
      <c r="P219" s="28">
        <v>1182.5999999999999</v>
      </c>
      <c r="Q219" s="28">
        <v>0.25863999999999998</v>
      </c>
      <c r="R219" s="28">
        <v>155.78213099999999</v>
      </c>
    </row>
    <row r="220" spans="1:18" x14ac:dyDescent="0.25">
      <c r="A220" t="s">
        <v>18</v>
      </c>
      <c r="B220">
        <v>400</v>
      </c>
      <c r="C220">
        <v>105</v>
      </c>
      <c r="D220">
        <v>4</v>
      </c>
      <c r="E220" s="28">
        <v>2.6999999999999999E-5</v>
      </c>
      <c r="F220" s="28">
        <v>92.25</v>
      </c>
      <c r="G220" s="28">
        <v>51.75</v>
      </c>
      <c r="H220" s="28">
        <v>0.56097560975609762</v>
      </c>
      <c r="I220" s="28">
        <v>69.082099999999997</v>
      </c>
      <c r="J220" s="28">
        <v>30.917899999999999</v>
      </c>
      <c r="K220" s="28">
        <v>81.904799999999994</v>
      </c>
      <c r="L220" s="28">
        <v>81</v>
      </c>
      <c r="M220" s="28">
        <v>100</v>
      </c>
      <c r="N220" s="28">
        <v>1361.9621099999999</v>
      </c>
      <c r="O220" s="28">
        <v>208.1</v>
      </c>
      <c r="P220" s="28">
        <v>1153.5999999999999</v>
      </c>
      <c r="Q220" s="28">
        <v>0.26211000000000001</v>
      </c>
      <c r="R220" s="28">
        <v>154.129974</v>
      </c>
    </row>
    <row r="221" spans="1:18" x14ac:dyDescent="0.25">
      <c r="A221" t="s">
        <v>18</v>
      </c>
      <c r="B221">
        <v>400</v>
      </c>
      <c r="C221">
        <v>105</v>
      </c>
      <c r="D221">
        <v>4</v>
      </c>
      <c r="E221" s="28">
        <v>2.5999999999999998E-5</v>
      </c>
      <c r="F221" s="28">
        <v>92.25</v>
      </c>
      <c r="G221" s="28">
        <v>52.5</v>
      </c>
      <c r="H221" s="28">
        <v>0.56910569105691056</v>
      </c>
      <c r="I221" s="28">
        <v>67.142899999999997</v>
      </c>
      <c r="J221" s="28">
        <v>32.857100000000003</v>
      </c>
      <c r="K221" s="28">
        <v>79.047600000000003</v>
      </c>
      <c r="L221" s="28">
        <v>78</v>
      </c>
      <c r="M221" s="28">
        <v>100</v>
      </c>
      <c r="N221" s="28">
        <v>1349.45874</v>
      </c>
      <c r="O221" s="28">
        <v>208.1</v>
      </c>
      <c r="P221" s="28">
        <v>1141.0999999999999</v>
      </c>
      <c r="Q221" s="28">
        <v>0.25874000000000003</v>
      </c>
      <c r="R221" s="28">
        <v>158.41207900000001</v>
      </c>
    </row>
    <row r="222" spans="1:18" x14ac:dyDescent="0.25">
      <c r="A222" t="s">
        <v>18</v>
      </c>
      <c r="B222">
        <v>400</v>
      </c>
      <c r="C222">
        <v>105</v>
      </c>
      <c r="D222">
        <v>4</v>
      </c>
      <c r="E222" s="28">
        <v>2.5000000000000001E-5</v>
      </c>
      <c r="F222" s="28">
        <v>92.25</v>
      </c>
      <c r="G222" s="28">
        <v>50.25</v>
      </c>
      <c r="H222" s="28">
        <v>0.54471544715447151</v>
      </c>
      <c r="I222" s="28">
        <v>75.124399999999994</v>
      </c>
      <c r="J222" s="28">
        <v>24.875599999999999</v>
      </c>
      <c r="K222" s="28">
        <v>81.904799999999994</v>
      </c>
      <c r="L222" s="28">
        <v>81</v>
      </c>
      <c r="M222" s="28">
        <v>100</v>
      </c>
      <c r="N222" s="28">
        <v>1407.1617699999999</v>
      </c>
      <c r="O222" s="28">
        <v>208.1</v>
      </c>
      <c r="P222" s="28">
        <v>1198.8</v>
      </c>
      <c r="Q222" s="28">
        <v>0.26177</v>
      </c>
      <c r="R222" s="28">
        <v>145.04384899999999</v>
      </c>
    </row>
    <row r="223" spans="1:18" x14ac:dyDescent="0.25">
      <c r="A223" t="s">
        <v>18</v>
      </c>
      <c r="B223">
        <v>400</v>
      </c>
      <c r="C223">
        <v>105</v>
      </c>
      <c r="D223">
        <v>4</v>
      </c>
      <c r="E223" s="28">
        <v>2.6999999999999999E-5</v>
      </c>
      <c r="F223" s="28">
        <v>92.25</v>
      </c>
      <c r="G223" s="28">
        <v>52.5</v>
      </c>
      <c r="H223" s="28">
        <v>0.56910569105691056</v>
      </c>
      <c r="I223" s="28">
        <v>63.333300000000001</v>
      </c>
      <c r="J223" s="28">
        <v>36.666699999999999</v>
      </c>
      <c r="K223" s="28">
        <v>70.476200000000006</v>
      </c>
      <c r="L223" s="28">
        <v>69</v>
      </c>
      <c r="M223" s="28">
        <v>100</v>
      </c>
      <c r="N223" s="28">
        <v>1332.64734</v>
      </c>
      <c r="O223" s="28">
        <v>208.1</v>
      </c>
      <c r="P223" s="28">
        <v>1124.3</v>
      </c>
      <c r="Q223" s="28">
        <v>0.24734</v>
      </c>
      <c r="R223" s="28">
        <v>165.059743</v>
      </c>
    </row>
    <row r="224" spans="1:18" x14ac:dyDescent="0.25">
      <c r="A224" t="s">
        <v>18</v>
      </c>
      <c r="B224">
        <v>400</v>
      </c>
      <c r="C224">
        <v>105</v>
      </c>
      <c r="D224">
        <v>4</v>
      </c>
      <c r="E224" s="28">
        <v>2.4000000000000001E-5</v>
      </c>
      <c r="F224" s="28">
        <v>92.25</v>
      </c>
      <c r="G224" s="28">
        <v>47.5</v>
      </c>
      <c r="H224" s="28">
        <v>0.51490514905149054</v>
      </c>
      <c r="I224" s="28">
        <v>70.526300000000006</v>
      </c>
      <c r="J224" s="28">
        <v>29.473700000000001</v>
      </c>
      <c r="K224" s="28">
        <v>72.381</v>
      </c>
      <c r="L224" s="28">
        <v>71</v>
      </c>
      <c r="M224" s="28">
        <v>100</v>
      </c>
      <c r="N224" s="28">
        <v>1470.4524100000001</v>
      </c>
      <c r="O224" s="28">
        <v>208.1</v>
      </c>
      <c r="P224" s="28">
        <v>1262.0999999999999</v>
      </c>
      <c r="Q224" s="28">
        <v>0.25241000000000002</v>
      </c>
      <c r="R224" s="28">
        <v>154.953135</v>
      </c>
    </row>
    <row r="225" spans="1:18" x14ac:dyDescent="0.25">
      <c r="A225" t="s">
        <v>18</v>
      </c>
      <c r="B225">
        <v>400</v>
      </c>
      <c r="C225">
        <v>105</v>
      </c>
      <c r="D225">
        <v>4</v>
      </c>
      <c r="E225" s="28">
        <v>2.5999999999999998E-5</v>
      </c>
      <c r="F225" s="28">
        <v>92.25</v>
      </c>
      <c r="G225" s="28">
        <v>51.25</v>
      </c>
      <c r="H225" s="28">
        <v>0.55555555555555558</v>
      </c>
      <c r="I225" s="28">
        <v>70.731700000000004</v>
      </c>
      <c r="J225" s="28">
        <v>29.2683</v>
      </c>
      <c r="K225" s="28">
        <v>80</v>
      </c>
      <c r="L225" s="28">
        <v>79</v>
      </c>
      <c r="M225" s="28">
        <v>100</v>
      </c>
      <c r="N225" s="28">
        <v>1388.5600300000001</v>
      </c>
      <c r="O225" s="28">
        <v>208.1</v>
      </c>
      <c r="P225" s="28">
        <v>1180.2</v>
      </c>
      <c r="Q225" s="28">
        <v>0.26002999999999998</v>
      </c>
      <c r="R225" s="28">
        <v>151.786878</v>
      </c>
    </row>
    <row r="226" spans="1:18" x14ac:dyDescent="0.25">
      <c r="A226" t="s">
        <v>18</v>
      </c>
      <c r="B226">
        <v>400</v>
      </c>
      <c r="C226">
        <v>105</v>
      </c>
      <c r="D226">
        <v>4</v>
      </c>
      <c r="E226" s="28">
        <v>2.5999999999999998E-5</v>
      </c>
      <c r="F226" s="28">
        <v>92.25</v>
      </c>
      <c r="G226" s="28">
        <v>51.5</v>
      </c>
      <c r="H226" s="28">
        <v>0.5582655826558266</v>
      </c>
      <c r="I226" s="28">
        <v>65.048500000000004</v>
      </c>
      <c r="J226" s="28">
        <v>34.951500000000003</v>
      </c>
      <c r="K226" s="28">
        <v>72.381</v>
      </c>
      <c r="L226" s="28">
        <v>71</v>
      </c>
      <c r="M226" s="28">
        <v>100</v>
      </c>
      <c r="N226" s="28">
        <v>1371.25333</v>
      </c>
      <c r="O226" s="28">
        <v>208.1</v>
      </c>
      <c r="P226" s="28">
        <v>1162.9000000000001</v>
      </c>
      <c r="Q226" s="28">
        <v>0.25333</v>
      </c>
      <c r="R226" s="28">
        <v>158.240723</v>
      </c>
    </row>
    <row r="227" spans="1:18" x14ac:dyDescent="0.25">
      <c r="A227" t="s">
        <v>18</v>
      </c>
      <c r="B227">
        <v>400</v>
      </c>
      <c r="C227">
        <v>105</v>
      </c>
      <c r="D227">
        <v>4</v>
      </c>
      <c r="E227" s="28">
        <v>2.5000000000000001E-5</v>
      </c>
      <c r="F227" s="28">
        <v>92.25</v>
      </c>
      <c r="G227" s="28">
        <v>49.25</v>
      </c>
      <c r="H227" s="28">
        <v>0.53387533875338755</v>
      </c>
      <c r="I227" s="28">
        <v>69.543099999999995</v>
      </c>
      <c r="J227" s="28">
        <v>30.456900000000001</v>
      </c>
      <c r="K227" s="28">
        <v>78.095200000000006</v>
      </c>
      <c r="L227" s="28">
        <v>77</v>
      </c>
      <c r="M227" s="28">
        <v>100</v>
      </c>
      <c r="N227" s="28">
        <v>1422.1573100000001</v>
      </c>
      <c r="O227" s="28">
        <v>208.1</v>
      </c>
      <c r="P227" s="28">
        <v>1213.8</v>
      </c>
      <c r="Q227" s="28">
        <v>0.25730999999999998</v>
      </c>
      <c r="R227" s="28">
        <v>155.102981</v>
      </c>
    </row>
    <row r="228" spans="1:18" x14ac:dyDescent="0.25">
      <c r="A228" t="s">
        <v>18</v>
      </c>
      <c r="B228">
        <v>400</v>
      </c>
      <c r="C228">
        <v>105</v>
      </c>
      <c r="D228">
        <v>4</v>
      </c>
      <c r="E228" s="28">
        <v>2.5000000000000001E-5</v>
      </c>
      <c r="F228" s="28">
        <v>92.25</v>
      </c>
      <c r="G228" s="28">
        <v>48.5</v>
      </c>
      <c r="H228" s="28">
        <v>0.5257452574525745</v>
      </c>
      <c r="I228" s="28">
        <v>69.072199999999995</v>
      </c>
      <c r="J228" s="28">
        <v>30.927800000000001</v>
      </c>
      <c r="K228" s="28">
        <v>72.381</v>
      </c>
      <c r="L228" s="28">
        <v>71</v>
      </c>
      <c r="M228" s="28">
        <v>100</v>
      </c>
      <c r="N228" s="28">
        <v>1477.4511199999999</v>
      </c>
      <c r="O228" s="28">
        <v>208.1</v>
      </c>
      <c r="P228" s="28">
        <v>1269.0999999999999</v>
      </c>
      <c r="Q228" s="28">
        <v>0.25112000000000001</v>
      </c>
      <c r="R228" s="28">
        <v>153.463998</v>
      </c>
    </row>
    <row r="229" spans="1:18" x14ac:dyDescent="0.25">
      <c r="A229" t="s">
        <v>18</v>
      </c>
      <c r="B229">
        <v>400</v>
      </c>
      <c r="C229">
        <v>105</v>
      </c>
      <c r="D229">
        <v>4</v>
      </c>
      <c r="E229" s="28">
        <v>2.5000000000000001E-5</v>
      </c>
      <c r="F229" s="28">
        <v>92.25</v>
      </c>
      <c r="G229" s="28">
        <v>50.25</v>
      </c>
      <c r="H229" s="28">
        <v>0.54471544715447151</v>
      </c>
      <c r="I229" s="28">
        <v>65.671599999999998</v>
      </c>
      <c r="J229" s="28">
        <v>34.328400000000002</v>
      </c>
      <c r="K229" s="28">
        <v>73.333299999999994</v>
      </c>
      <c r="L229" s="28">
        <v>72</v>
      </c>
      <c r="M229" s="28">
        <v>100</v>
      </c>
      <c r="N229" s="28">
        <v>1410.75128</v>
      </c>
      <c r="O229" s="28">
        <v>208.1</v>
      </c>
      <c r="P229" s="28">
        <v>1202.4000000000001</v>
      </c>
      <c r="Q229" s="28">
        <v>0.25128</v>
      </c>
      <c r="R229" s="28">
        <v>159.093447</v>
      </c>
    </row>
    <row r="230" spans="1:18" x14ac:dyDescent="0.25">
      <c r="A230" t="s">
        <v>18</v>
      </c>
      <c r="B230">
        <v>400</v>
      </c>
      <c r="C230">
        <v>105</v>
      </c>
      <c r="D230">
        <v>4</v>
      </c>
      <c r="E230" s="28">
        <v>2.5000000000000001E-5</v>
      </c>
      <c r="F230" s="28">
        <v>92.25</v>
      </c>
      <c r="G230" s="28">
        <v>50.25</v>
      </c>
      <c r="H230" s="28">
        <v>0.54471544715447151</v>
      </c>
      <c r="I230" s="28">
        <v>66.666700000000006</v>
      </c>
      <c r="J230" s="28">
        <v>33.333300000000001</v>
      </c>
      <c r="K230" s="28">
        <v>77.142899999999997</v>
      </c>
      <c r="L230" s="28">
        <v>76</v>
      </c>
      <c r="M230" s="28">
        <v>100</v>
      </c>
      <c r="N230" s="28">
        <v>1399.5573099999999</v>
      </c>
      <c r="O230" s="28">
        <v>208.1</v>
      </c>
      <c r="P230" s="28">
        <v>1191.2</v>
      </c>
      <c r="Q230" s="28">
        <v>0.25730999999999998</v>
      </c>
      <c r="R230" s="28">
        <v>157.565954</v>
      </c>
    </row>
    <row r="231" spans="1:18" x14ac:dyDescent="0.25">
      <c r="A231" t="s">
        <v>18</v>
      </c>
      <c r="B231">
        <v>400</v>
      </c>
      <c r="C231">
        <v>105</v>
      </c>
      <c r="D231">
        <v>4</v>
      </c>
      <c r="E231" s="28">
        <v>2.5999999999999998E-5</v>
      </c>
      <c r="F231" s="28">
        <v>92.25</v>
      </c>
      <c r="G231" s="28">
        <v>50.25</v>
      </c>
      <c r="H231" s="28">
        <v>0.54471544715447151</v>
      </c>
      <c r="I231" s="28">
        <v>68.656700000000001</v>
      </c>
      <c r="J231" s="28">
        <v>31.343299999999999</v>
      </c>
      <c r="K231" s="28">
        <v>73.333299999999994</v>
      </c>
      <c r="L231" s="28">
        <v>72</v>
      </c>
      <c r="M231" s="28">
        <v>100</v>
      </c>
      <c r="N231" s="28">
        <v>1434.7508499999999</v>
      </c>
      <c r="O231" s="28">
        <v>208.1</v>
      </c>
      <c r="P231" s="28">
        <v>1226.4000000000001</v>
      </c>
      <c r="Q231" s="28">
        <v>0.25085000000000002</v>
      </c>
      <c r="R231" s="28">
        <v>152.96481800000001</v>
      </c>
    </row>
    <row r="232" spans="1:18" x14ac:dyDescent="0.25">
      <c r="A232" t="s">
        <v>18</v>
      </c>
      <c r="B232">
        <v>400</v>
      </c>
      <c r="C232">
        <v>105</v>
      </c>
      <c r="D232">
        <v>4</v>
      </c>
      <c r="E232" s="28">
        <v>2.4000000000000001E-5</v>
      </c>
      <c r="F232" s="28">
        <v>92.25</v>
      </c>
      <c r="G232" s="28">
        <v>43.25</v>
      </c>
      <c r="H232" s="28">
        <v>0.46883468834688347</v>
      </c>
      <c r="I232" s="28">
        <v>71.098299999999995</v>
      </c>
      <c r="J232" s="28">
        <v>28.901700000000002</v>
      </c>
      <c r="K232" s="28">
        <v>74.285700000000006</v>
      </c>
      <c r="L232" s="28">
        <v>73</v>
      </c>
      <c r="M232" s="28">
        <v>100</v>
      </c>
      <c r="N232" s="28">
        <v>1570.1518000000001</v>
      </c>
      <c r="O232" s="28">
        <v>208.1</v>
      </c>
      <c r="P232" s="28">
        <v>1361.8</v>
      </c>
      <c r="Q232" s="28">
        <v>0.25180000000000002</v>
      </c>
      <c r="R232" s="28">
        <v>152.80279899999999</v>
      </c>
    </row>
    <row r="233" spans="1:18" x14ac:dyDescent="0.25">
      <c r="A233" t="s">
        <v>18</v>
      </c>
      <c r="B233">
        <v>400</v>
      </c>
      <c r="C233">
        <v>105</v>
      </c>
      <c r="D233">
        <v>4</v>
      </c>
      <c r="E233" s="28">
        <v>2.5999999999999998E-5</v>
      </c>
      <c r="F233" s="28">
        <v>92.25</v>
      </c>
      <c r="G233" s="28">
        <v>50.75</v>
      </c>
      <c r="H233" s="28">
        <v>0.55013550135501355</v>
      </c>
      <c r="I233" s="28">
        <v>69.458100000000002</v>
      </c>
      <c r="J233" s="28">
        <v>30.541899999999998</v>
      </c>
      <c r="K233" s="28">
        <v>74.285700000000006</v>
      </c>
      <c r="L233" s="28">
        <v>73</v>
      </c>
      <c r="M233" s="28">
        <v>100</v>
      </c>
      <c r="N233" s="28">
        <v>1415.15436</v>
      </c>
      <c r="O233" s="28">
        <v>208.1</v>
      </c>
      <c r="P233" s="28">
        <v>1206.8</v>
      </c>
      <c r="Q233" s="28">
        <v>0.25435999999999998</v>
      </c>
      <c r="R233" s="28">
        <v>152.50928400000001</v>
      </c>
    </row>
    <row r="234" spans="1:18" x14ac:dyDescent="0.25">
      <c r="A234" t="s">
        <v>18</v>
      </c>
      <c r="B234">
        <v>400</v>
      </c>
      <c r="C234">
        <v>105</v>
      </c>
      <c r="D234">
        <v>4</v>
      </c>
      <c r="E234" s="28">
        <v>2.6999999999999999E-5</v>
      </c>
      <c r="F234" s="28">
        <v>92.25</v>
      </c>
      <c r="G234" s="28">
        <v>50.5</v>
      </c>
      <c r="H234" s="28">
        <v>0.54742547425474253</v>
      </c>
      <c r="I234" s="28">
        <v>67.821799999999996</v>
      </c>
      <c r="J234" s="28">
        <v>32.178199999999997</v>
      </c>
      <c r="K234" s="28">
        <v>79.047600000000003</v>
      </c>
      <c r="L234" s="28">
        <v>78</v>
      </c>
      <c r="M234" s="28">
        <v>100</v>
      </c>
      <c r="N234" s="28">
        <v>1396.0584799999999</v>
      </c>
      <c r="O234" s="28">
        <v>208.1</v>
      </c>
      <c r="P234" s="28">
        <v>1187.7</v>
      </c>
      <c r="Q234" s="28">
        <v>0.25847999999999999</v>
      </c>
      <c r="R234" s="28">
        <v>154.87571199999999</v>
      </c>
    </row>
    <row r="235" spans="1:18" x14ac:dyDescent="0.25">
      <c r="A235" t="s">
        <v>18</v>
      </c>
      <c r="B235">
        <v>400</v>
      </c>
      <c r="C235">
        <v>105</v>
      </c>
      <c r="D235">
        <v>4</v>
      </c>
      <c r="E235" s="28">
        <v>2.5999999999999998E-5</v>
      </c>
      <c r="F235" s="28">
        <v>92.25</v>
      </c>
      <c r="G235" s="28">
        <v>51.25</v>
      </c>
      <c r="H235" s="28">
        <v>0.55555555555555558</v>
      </c>
      <c r="I235" s="28">
        <v>67.804900000000004</v>
      </c>
      <c r="J235" s="28">
        <v>32.195099999999996</v>
      </c>
      <c r="K235" s="28">
        <v>76.1905</v>
      </c>
      <c r="L235" s="28">
        <v>75</v>
      </c>
      <c r="M235" s="28">
        <v>100</v>
      </c>
      <c r="N235" s="28">
        <v>1391.7556300000001</v>
      </c>
      <c r="O235" s="28">
        <v>208.1</v>
      </c>
      <c r="P235" s="28">
        <v>1183.4000000000001</v>
      </c>
      <c r="Q235" s="28">
        <v>0.25563000000000002</v>
      </c>
      <c r="R235" s="28">
        <v>157.004345</v>
      </c>
    </row>
    <row r="236" spans="1:18" x14ac:dyDescent="0.25">
      <c r="A236" t="s">
        <v>18</v>
      </c>
      <c r="B236">
        <v>400</v>
      </c>
      <c r="C236">
        <v>105</v>
      </c>
      <c r="D236">
        <v>4</v>
      </c>
      <c r="E236" s="28">
        <v>2.5999999999999998E-5</v>
      </c>
      <c r="F236" s="28">
        <v>92.25</v>
      </c>
      <c r="G236" s="28">
        <v>48.5</v>
      </c>
      <c r="H236" s="28">
        <v>0.5257452574525745</v>
      </c>
      <c r="I236" s="28">
        <v>67.525800000000004</v>
      </c>
      <c r="J236" s="28">
        <v>32.474200000000003</v>
      </c>
      <c r="K236" s="28">
        <v>72.381</v>
      </c>
      <c r="L236" s="28">
        <v>71</v>
      </c>
      <c r="M236" s="28">
        <v>100</v>
      </c>
      <c r="N236" s="28">
        <v>1448.4506799999999</v>
      </c>
      <c r="O236" s="28">
        <v>208.1</v>
      </c>
      <c r="P236" s="28">
        <v>1240.0999999999999</v>
      </c>
      <c r="Q236" s="28">
        <v>0.25068000000000001</v>
      </c>
      <c r="R236" s="28">
        <v>159.23479499999999</v>
      </c>
    </row>
    <row r="237" spans="1:18" x14ac:dyDescent="0.25">
      <c r="A237" t="s">
        <v>18</v>
      </c>
      <c r="B237">
        <v>400</v>
      </c>
      <c r="C237">
        <v>105</v>
      </c>
      <c r="D237">
        <v>4</v>
      </c>
      <c r="E237" s="28">
        <v>2.5000000000000001E-5</v>
      </c>
      <c r="F237" s="28">
        <v>92.25</v>
      </c>
      <c r="G237" s="28">
        <v>49</v>
      </c>
      <c r="H237" s="28">
        <v>0.53116531165311653</v>
      </c>
      <c r="I237" s="28">
        <v>66.836699999999993</v>
      </c>
      <c r="J237" s="28">
        <v>33.1633</v>
      </c>
      <c r="K237" s="28">
        <v>77.142899999999997</v>
      </c>
      <c r="L237" s="28">
        <v>76</v>
      </c>
      <c r="M237" s="28">
        <v>100</v>
      </c>
      <c r="N237" s="28">
        <v>1438.2560100000001</v>
      </c>
      <c r="O237" s="28">
        <v>208.1</v>
      </c>
      <c r="P237" s="28">
        <v>1229.9000000000001</v>
      </c>
      <c r="Q237" s="28">
        <v>0.25601000000000002</v>
      </c>
      <c r="R237" s="28">
        <v>158.49177499999999</v>
      </c>
    </row>
    <row r="238" spans="1:18" x14ac:dyDescent="0.25">
      <c r="A238" t="s">
        <v>18</v>
      </c>
      <c r="B238">
        <v>400</v>
      </c>
      <c r="C238">
        <v>105</v>
      </c>
      <c r="D238">
        <v>4</v>
      </c>
      <c r="E238" s="28">
        <v>2.5999999999999998E-5</v>
      </c>
      <c r="F238" s="28">
        <v>92.25</v>
      </c>
      <c r="G238" s="28">
        <v>51</v>
      </c>
      <c r="H238" s="28">
        <v>0.55284552845528456</v>
      </c>
      <c r="I238" s="28">
        <v>71.568600000000004</v>
      </c>
      <c r="J238" s="28">
        <v>28.4314</v>
      </c>
      <c r="K238" s="28">
        <v>78.095200000000006</v>
      </c>
      <c r="L238" s="28">
        <v>77</v>
      </c>
      <c r="M238" s="28">
        <v>100</v>
      </c>
      <c r="N238" s="28">
        <v>1374.8568600000001</v>
      </c>
      <c r="O238" s="28">
        <v>208.1</v>
      </c>
      <c r="P238" s="28">
        <v>1166.5</v>
      </c>
      <c r="Q238" s="28">
        <v>0.25685999999999998</v>
      </c>
      <c r="R238" s="28">
        <v>153.04950199999999</v>
      </c>
    </row>
    <row r="239" spans="1:18" x14ac:dyDescent="0.25">
      <c r="A239" t="s">
        <v>18</v>
      </c>
      <c r="B239">
        <v>400</v>
      </c>
      <c r="C239">
        <v>105</v>
      </c>
      <c r="D239">
        <v>4</v>
      </c>
      <c r="E239" s="28">
        <v>2.6999999999999999E-5</v>
      </c>
      <c r="F239" s="28">
        <v>92.25</v>
      </c>
      <c r="G239" s="28">
        <v>51</v>
      </c>
      <c r="H239" s="28">
        <v>0.55284552845528456</v>
      </c>
      <c r="I239" s="28">
        <v>67.647099999999995</v>
      </c>
      <c r="J239" s="28">
        <v>32.352899999999998</v>
      </c>
      <c r="K239" s="28">
        <v>78.095200000000006</v>
      </c>
      <c r="L239" s="28">
        <v>77</v>
      </c>
      <c r="M239" s="28">
        <v>100</v>
      </c>
      <c r="N239" s="28">
        <v>1373.05808</v>
      </c>
      <c r="O239" s="28">
        <v>208.1</v>
      </c>
      <c r="P239" s="28">
        <v>1164.7</v>
      </c>
      <c r="Q239" s="28">
        <v>0.25807999999999998</v>
      </c>
      <c r="R239" s="28">
        <v>159.541541</v>
      </c>
    </row>
    <row r="240" spans="1:18" x14ac:dyDescent="0.25">
      <c r="A240" t="s">
        <v>18</v>
      </c>
      <c r="B240">
        <v>400</v>
      </c>
      <c r="C240">
        <v>105</v>
      </c>
      <c r="D240">
        <v>4</v>
      </c>
      <c r="E240" s="28">
        <v>2.5000000000000001E-5</v>
      </c>
      <c r="F240" s="28">
        <v>92.25</v>
      </c>
      <c r="G240" s="28">
        <v>51</v>
      </c>
      <c r="H240" s="28">
        <v>0.55284552845528456</v>
      </c>
      <c r="I240" s="28">
        <v>72.549000000000007</v>
      </c>
      <c r="J240" s="28">
        <v>27.451000000000001</v>
      </c>
      <c r="K240" s="28">
        <v>78.095200000000006</v>
      </c>
      <c r="L240" s="28">
        <v>77</v>
      </c>
      <c r="M240" s="28">
        <v>100</v>
      </c>
      <c r="N240" s="28">
        <v>1410.6583700000001</v>
      </c>
      <c r="O240" s="28">
        <v>208.1</v>
      </c>
      <c r="P240" s="28">
        <v>1202.3</v>
      </c>
      <c r="Q240" s="28">
        <v>0.25836999999999999</v>
      </c>
      <c r="R240" s="28">
        <v>149.41714300000001</v>
      </c>
    </row>
    <row r="241" spans="1:18" x14ac:dyDescent="0.25">
      <c r="A241" t="s">
        <v>18</v>
      </c>
      <c r="B241">
        <v>400</v>
      </c>
      <c r="C241">
        <v>105</v>
      </c>
      <c r="D241">
        <v>4</v>
      </c>
      <c r="E241" s="28">
        <v>2.6999999999999999E-5</v>
      </c>
      <c r="F241" s="28">
        <v>92.25</v>
      </c>
      <c r="G241" s="28">
        <v>52.75</v>
      </c>
      <c r="H241" s="28">
        <v>0.57181571815718157</v>
      </c>
      <c r="I241" s="28">
        <v>68.246399999999994</v>
      </c>
      <c r="J241" s="28">
        <v>31.753599999999999</v>
      </c>
      <c r="K241" s="28">
        <v>80.952399999999997</v>
      </c>
      <c r="L241" s="28">
        <v>80</v>
      </c>
      <c r="M241" s="28">
        <v>100</v>
      </c>
      <c r="N241" s="28">
        <v>1340.16041</v>
      </c>
      <c r="O241" s="28">
        <v>208.1</v>
      </c>
      <c r="P241" s="28">
        <v>1131.8</v>
      </c>
      <c r="Q241" s="28">
        <v>0.26040999999999997</v>
      </c>
      <c r="R241" s="28">
        <v>155.08364499999999</v>
      </c>
    </row>
    <row r="242" spans="1:18" x14ac:dyDescent="0.25">
      <c r="A242" t="s">
        <v>18</v>
      </c>
      <c r="B242">
        <v>400</v>
      </c>
      <c r="C242">
        <v>105</v>
      </c>
      <c r="D242">
        <v>4</v>
      </c>
      <c r="E242" s="28">
        <v>2.5999999999999998E-5</v>
      </c>
      <c r="F242" s="28">
        <v>92.25</v>
      </c>
      <c r="G242" s="28">
        <v>50</v>
      </c>
      <c r="H242" s="28">
        <v>0.54200542005420049</v>
      </c>
      <c r="I242" s="28">
        <v>67</v>
      </c>
      <c r="J242" s="28">
        <v>33</v>
      </c>
      <c r="K242" s="28">
        <v>74.285700000000006</v>
      </c>
      <c r="L242" s="28">
        <v>73</v>
      </c>
      <c r="M242" s="28">
        <v>100</v>
      </c>
      <c r="N242" s="28">
        <v>1414.25325</v>
      </c>
      <c r="O242" s="28">
        <v>208.1</v>
      </c>
      <c r="P242" s="28">
        <v>1205.9000000000001</v>
      </c>
      <c r="Q242" s="28">
        <v>0.25324999999999998</v>
      </c>
      <c r="R242" s="28">
        <v>156.75941700000001</v>
      </c>
    </row>
    <row r="243" spans="1:18" x14ac:dyDescent="0.25">
      <c r="A243" t="s">
        <v>18</v>
      </c>
      <c r="B243">
        <v>400</v>
      </c>
      <c r="C243">
        <v>105</v>
      </c>
      <c r="D243">
        <v>4</v>
      </c>
      <c r="E243" s="28">
        <v>2.5999999999999998E-5</v>
      </c>
      <c r="F243" s="28">
        <v>92.25</v>
      </c>
      <c r="G243" s="28">
        <v>50.75</v>
      </c>
      <c r="H243" s="28">
        <v>0.55013550135501355</v>
      </c>
      <c r="I243" s="28">
        <v>66.009900000000002</v>
      </c>
      <c r="J243" s="28">
        <v>33.990099999999998</v>
      </c>
      <c r="K243" s="28">
        <v>76.1905</v>
      </c>
      <c r="L243" s="28">
        <v>75</v>
      </c>
      <c r="M243" s="28">
        <v>100</v>
      </c>
      <c r="N243" s="28">
        <v>1388.1558399999999</v>
      </c>
      <c r="O243" s="28">
        <v>208.1</v>
      </c>
      <c r="P243" s="28">
        <v>1179.8</v>
      </c>
      <c r="Q243" s="28">
        <v>0.25584000000000001</v>
      </c>
      <c r="R243" s="28">
        <v>156.35547700000001</v>
      </c>
    </row>
    <row r="244" spans="1:18" x14ac:dyDescent="0.25">
      <c r="A244" t="s">
        <v>18</v>
      </c>
      <c r="B244">
        <v>400</v>
      </c>
      <c r="C244">
        <v>105</v>
      </c>
      <c r="D244">
        <v>4</v>
      </c>
      <c r="E244" s="28">
        <v>3.3000000000000003E-5</v>
      </c>
      <c r="F244" s="28">
        <v>92.25</v>
      </c>
      <c r="G244" s="28">
        <v>50.5</v>
      </c>
      <c r="H244" s="28">
        <v>0.54742547425474253</v>
      </c>
      <c r="I244" s="28">
        <v>68.316800000000001</v>
      </c>
      <c r="J244" s="28">
        <v>31.683199999999999</v>
      </c>
      <c r="K244" s="28">
        <v>76.1905</v>
      </c>
      <c r="L244" s="28">
        <v>75</v>
      </c>
      <c r="M244" s="28">
        <v>100</v>
      </c>
      <c r="N244" s="28">
        <v>1390.85601</v>
      </c>
      <c r="O244" s="28">
        <v>208.1</v>
      </c>
      <c r="P244" s="28">
        <v>1182.5</v>
      </c>
      <c r="Q244" s="28">
        <v>0.25601000000000002</v>
      </c>
      <c r="R244" s="28">
        <v>156.86902000000001</v>
      </c>
    </row>
    <row r="245" spans="1:18" x14ac:dyDescent="0.25">
      <c r="A245" t="s">
        <v>18</v>
      </c>
      <c r="B245">
        <v>500</v>
      </c>
      <c r="C245">
        <v>105</v>
      </c>
      <c r="D245">
        <v>4</v>
      </c>
      <c r="E245" s="28">
        <v>3.1000000000000001E-5</v>
      </c>
      <c r="F245" s="28">
        <v>92.2</v>
      </c>
      <c r="G245" s="28">
        <v>42.6</v>
      </c>
      <c r="H245" s="28">
        <v>0.46203904555314534</v>
      </c>
      <c r="I245" s="28">
        <v>64.788700000000006</v>
      </c>
      <c r="J245" s="28">
        <v>35.211300000000001</v>
      </c>
      <c r="K245" s="28">
        <v>69.523799999999994</v>
      </c>
      <c r="L245" s="28">
        <v>68</v>
      </c>
      <c r="M245" s="28">
        <v>100</v>
      </c>
      <c r="N245" s="28">
        <v>2008.3458599999999</v>
      </c>
      <c r="O245" s="28">
        <v>256.3</v>
      </c>
      <c r="P245" s="28">
        <v>1751.8</v>
      </c>
      <c r="Q245" s="28">
        <v>0.24586</v>
      </c>
      <c r="R245" s="28">
        <v>160.86492699999999</v>
      </c>
    </row>
    <row r="246" spans="1:18" x14ac:dyDescent="0.25">
      <c r="A246" t="s">
        <v>18</v>
      </c>
      <c r="B246">
        <v>500</v>
      </c>
      <c r="C246">
        <v>105</v>
      </c>
      <c r="D246">
        <v>4</v>
      </c>
      <c r="E246" s="28">
        <v>3.1999999999999999E-5</v>
      </c>
      <c r="F246" s="28">
        <v>92.2</v>
      </c>
      <c r="G246" s="28">
        <v>47.6</v>
      </c>
      <c r="H246" s="28">
        <v>0.51626898047722347</v>
      </c>
      <c r="I246" s="28">
        <v>65.126099999999994</v>
      </c>
      <c r="J246" s="28">
        <v>34.873899999999999</v>
      </c>
      <c r="K246" s="28">
        <v>81.904799999999994</v>
      </c>
      <c r="L246" s="28">
        <v>81</v>
      </c>
      <c r="M246" s="28">
        <v>100</v>
      </c>
      <c r="N246" s="28">
        <v>1857.6629600000001</v>
      </c>
      <c r="O246" s="28">
        <v>256.3</v>
      </c>
      <c r="P246" s="28">
        <v>1601.1</v>
      </c>
      <c r="Q246" s="28">
        <v>0.26296000000000003</v>
      </c>
      <c r="R246" s="28">
        <v>158.44445999999999</v>
      </c>
    </row>
    <row r="247" spans="1:18" x14ac:dyDescent="0.25">
      <c r="A247" t="s">
        <v>18</v>
      </c>
      <c r="B247">
        <v>500</v>
      </c>
      <c r="C247">
        <v>105</v>
      </c>
      <c r="D247">
        <v>4</v>
      </c>
      <c r="E247" s="28">
        <v>3.0000000000000001E-5</v>
      </c>
      <c r="F247" s="28">
        <v>92.2</v>
      </c>
      <c r="G247" s="28">
        <v>44.8</v>
      </c>
      <c r="H247" s="28">
        <v>0.48590021691973967</v>
      </c>
      <c r="I247" s="28">
        <v>68.303600000000003</v>
      </c>
      <c r="J247" s="28">
        <v>31.696400000000001</v>
      </c>
      <c r="K247" s="28">
        <v>80</v>
      </c>
      <c r="L247" s="28">
        <v>79</v>
      </c>
      <c r="M247" s="28">
        <v>100</v>
      </c>
      <c r="N247" s="28">
        <v>1951.86058</v>
      </c>
      <c r="O247" s="28">
        <v>256.3</v>
      </c>
      <c r="P247" s="28">
        <v>1695.3</v>
      </c>
      <c r="Q247" s="28">
        <v>0.26057999999999998</v>
      </c>
      <c r="R247" s="28">
        <v>152.85584600000001</v>
      </c>
    </row>
    <row r="248" spans="1:18" x14ac:dyDescent="0.25">
      <c r="A248" t="s">
        <v>18</v>
      </c>
      <c r="B248">
        <v>500</v>
      </c>
      <c r="C248">
        <v>105</v>
      </c>
      <c r="D248">
        <v>4</v>
      </c>
      <c r="E248" s="28">
        <v>3.0000000000000001E-5</v>
      </c>
      <c r="F248" s="28">
        <v>92.2</v>
      </c>
      <c r="G248" s="28">
        <v>45.2</v>
      </c>
      <c r="H248" s="28">
        <v>0.49023861171366595</v>
      </c>
      <c r="I248" s="28">
        <v>66.8142</v>
      </c>
      <c r="J248" s="28">
        <v>33.1858</v>
      </c>
      <c r="K248" s="28">
        <v>77.142899999999997</v>
      </c>
      <c r="L248" s="28">
        <v>76</v>
      </c>
      <c r="M248" s="28">
        <v>100</v>
      </c>
      <c r="N248" s="28">
        <v>1930.2578599999999</v>
      </c>
      <c r="O248" s="28">
        <v>256.3</v>
      </c>
      <c r="P248" s="28">
        <v>1673.7</v>
      </c>
      <c r="Q248" s="28">
        <v>0.25785999999999998</v>
      </c>
      <c r="R248" s="28">
        <v>154.75867299999999</v>
      </c>
    </row>
    <row r="249" spans="1:18" x14ac:dyDescent="0.25">
      <c r="A249" t="s">
        <v>18</v>
      </c>
      <c r="B249">
        <v>500</v>
      </c>
      <c r="C249">
        <v>105</v>
      </c>
      <c r="D249">
        <v>4</v>
      </c>
      <c r="E249" s="28">
        <v>3.1999999999999999E-5</v>
      </c>
      <c r="F249" s="28">
        <v>92.2</v>
      </c>
      <c r="G249" s="28">
        <v>48.2</v>
      </c>
      <c r="H249" s="28">
        <v>0.52277657266811284</v>
      </c>
      <c r="I249" s="28">
        <v>66.39</v>
      </c>
      <c r="J249" s="28">
        <v>33.61</v>
      </c>
      <c r="K249" s="28">
        <v>83.8095</v>
      </c>
      <c r="L249" s="28">
        <v>83</v>
      </c>
      <c r="M249" s="28">
        <v>100</v>
      </c>
      <c r="N249" s="28">
        <v>1823.56466</v>
      </c>
      <c r="O249" s="28">
        <v>256.3</v>
      </c>
      <c r="P249" s="28">
        <v>1567</v>
      </c>
      <c r="Q249" s="28">
        <v>0.26466000000000001</v>
      </c>
      <c r="R249" s="28">
        <v>157.000384</v>
      </c>
    </row>
    <row r="250" spans="1:18" x14ac:dyDescent="0.25">
      <c r="A250" t="s">
        <v>18</v>
      </c>
      <c r="B250">
        <v>500</v>
      </c>
      <c r="C250">
        <v>105</v>
      </c>
      <c r="D250">
        <v>4</v>
      </c>
      <c r="E250" s="28">
        <v>3.3000000000000003E-5</v>
      </c>
      <c r="F250" s="28">
        <v>92.2</v>
      </c>
      <c r="G250" s="28">
        <v>47.8</v>
      </c>
      <c r="H250" s="28">
        <v>0.51843817787418656</v>
      </c>
      <c r="I250" s="28">
        <v>65.272000000000006</v>
      </c>
      <c r="J250" s="28">
        <v>34.728000000000002</v>
      </c>
      <c r="K250" s="28">
        <v>80.952399999999997</v>
      </c>
      <c r="L250" s="28">
        <v>80</v>
      </c>
      <c r="M250" s="28">
        <v>100</v>
      </c>
      <c r="N250" s="28">
        <v>1826.7635700000001</v>
      </c>
      <c r="O250" s="28">
        <v>256.3</v>
      </c>
      <c r="P250" s="28">
        <v>1570.2</v>
      </c>
      <c r="Q250" s="28">
        <v>0.26357000000000003</v>
      </c>
      <c r="R250" s="28">
        <v>158.71009599999999</v>
      </c>
    </row>
    <row r="251" spans="1:18" x14ac:dyDescent="0.25">
      <c r="A251" t="s">
        <v>18</v>
      </c>
      <c r="B251">
        <v>500</v>
      </c>
      <c r="C251">
        <v>105</v>
      </c>
      <c r="D251">
        <v>4</v>
      </c>
      <c r="E251" s="28">
        <v>3.1999999999999999E-5</v>
      </c>
      <c r="F251" s="28">
        <v>92.2</v>
      </c>
      <c r="G251" s="28">
        <v>46.8</v>
      </c>
      <c r="H251" s="28">
        <v>0.50759219088937091</v>
      </c>
      <c r="I251" s="28">
        <v>66.666700000000006</v>
      </c>
      <c r="J251" s="28">
        <v>33.333300000000001</v>
      </c>
      <c r="K251" s="28">
        <v>82.857100000000003</v>
      </c>
      <c r="L251" s="28">
        <v>82</v>
      </c>
      <c r="M251" s="28">
        <v>100</v>
      </c>
      <c r="N251" s="28">
        <v>1858.46351</v>
      </c>
      <c r="O251" s="28">
        <v>256.3</v>
      </c>
      <c r="P251" s="28">
        <v>1601.9</v>
      </c>
      <c r="Q251" s="28">
        <v>0.26351000000000002</v>
      </c>
      <c r="R251" s="28">
        <v>158.33344299999999</v>
      </c>
    </row>
    <row r="252" spans="1:18" x14ac:dyDescent="0.25">
      <c r="A252" t="s">
        <v>18</v>
      </c>
      <c r="B252">
        <v>500</v>
      </c>
      <c r="C252">
        <v>105</v>
      </c>
      <c r="D252">
        <v>4</v>
      </c>
      <c r="E252" s="28">
        <v>3.1000000000000001E-5</v>
      </c>
      <c r="F252" s="28">
        <v>92.2</v>
      </c>
      <c r="G252" s="28">
        <v>45.4</v>
      </c>
      <c r="H252" s="28">
        <v>0.49240780911062904</v>
      </c>
      <c r="I252" s="28">
        <v>67.400899999999993</v>
      </c>
      <c r="J252" s="28">
        <v>32.5991</v>
      </c>
      <c r="K252" s="28">
        <v>79.047600000000003</v>
      </c>
      <c r="L252" s="28">
        <v>78</v>
      </c>
      <c r="M252" s="28">
        <v>100</v>
      </c>
      <c r="N252" s="28">
        <v>1921.3593699999999</v>
      </c>
      <c r="O252" s="28">
        <v>256.3</v>
      </c>
      <c r="P252" s="28">
        <v>1664.8</v>
      </c>
      <c r="Q252" s="28">
        <v>0.25936999999999999</v>
      </c>
      <c r="R252" s="28">
        <v>154.374415</v>
      </c>
    </row>
    <row r="253" spans="1:18" x14ac:dyDescent="0.25">
      <c r="A253" t="s">
        <v>18</v>
      </c>
      <c r="B253">
        <v>500</v>
      </c>
      <c r="C253">
        <v>105</v>
      </c>
      <c r="D253">
        <v>4</v>
      </c>
      <c r="E253" s="28">
        <v>3.1000000000000001E-5</v>
      </c>
      <c r="F253" s="28">
        <v>92.2</v>
      </c>
      <c r="G253" s="28">
        <v>46.6</v>
      </c>
      <c r="H253" s="28">
        <v>0.50542299349240782</v>
      </c>
      <c r="I253" s="28">
        <v>64.806899999999999</v>
      </c>
      <c r="J253" s="28">
        <v>35.193100000000001</v>
      </c>
      <c r="K253" s="28">
        <v>79.047600000000003</v>
      </c>
      <c r="L253" s="28">
        <v>78</v>
      </c>
      <c r="M253" s="28">
        <v>100</v>
      </c>
      <c r="N253" s="28">
        <v>1869.3595399999999</v>
      </c>
      <c r="O253" s="28">
        <v>256.3</v>
      </c>
      <c r="P253" s="28">
        <v>1612.8</v>
      </c>
      <c r="Q253" s="28">
        <v>0.25953999999999999</v>
      </c>
      <c r="R253" s="28">
        <v>160.982449</v>
      </c>
    </row>
    <row r="254" spans="1:18" x14ac:dyDescent="0.25">
      <c r="A254" t="s">
        <v>18</v>
      </c>
      <c r="B254">
        <v>500</v>
      </c>
      <c r="C254">
        <v>105</v>
      </c>
      <c r="D254">
        <v>4</v>
      </c>
      <c r="E254" s="28">
        <v>3.1000000000000001E-5</v>
      </c>
      <c r="F254" s="28">
        <v>92.2</v>
      </c>
      <c r="G254" s="28">
        <v>45.4</v>
      </c>
      <c r="H254" s="28">
        <v>0.49240780911062904</v>
      </c>
      <c r="I254" s="28">
        <v>66.960400000000007</v>
      </c>
      <c r="J254" s="28">
        <v>33.0396</v>
      </c>
      <c r="K254" s="28">
        <v>79.047600000000003</v>
      </c>
      <c r="L254" s="28">
        <v>78</v>
      </c>
      <c r="M254" s="28">
        <v>100</v>
      </c>
      <c r="N254" s="28">
        <v>1921.7589700000001</v>
      </c>
      <c r="O254" s="28">
        <v>256.3</v>
      </c>
      <c r="P254" s="28">
        <v>1665.2</v>
      </c>
      <c r="Q254" s="28">
        <v>0.25896999999999998</v>
      </c>
      <c r="R254" s="28">
        <v>154.19298000000001</v>
      </c>
    </row>
    <row r="255" spans="1:18" x14ac:dyDescent="0.25">
      <c r="A255" t="s">
        <v>18</v>
      </c>
      <c r="B255">
        <v>500</v>
      </c>
      <c r="C255">
        <v>105</v>
      </c>
      <c r="D255">
        <v>4</v>
      </c>
      <c r="E255" s="28">
        <v>3.1999999999999999E-5</v>
      </c>
      <c r="F255" s="28">
        <v>92.2</v>
      </c>
      <c r="G255" s="28">
        <v>47</v>
      </c>
      <c r="H255" s="28">
        <v>0.50976138828633399</v>
      </c>
      <c r="I255" s="28">
        <v>66.808499999999995</v>
      </c>
      <c r="J255" s="28">
        <v>33.191499999999998</v>
      </c>
      <c r="K255" s="28">
        <v>80</v>
      </c>
      <c r="L255" s="28">
        <v>79</v>
      </c>
      <c r="M255" s="28">
        <v>100</v>
      </c>
      <c r="N255" s="28">
        <v>1870.56015</v>
      </c>
      <c r="O255" s="28">
        <v>256.3</v>
      </c>
      <c r="P255" s="28">
        <v>1614</v>
      </c>
      <c r="Q255" s="28">
        <v>0.26014999999999999</v>
      </c>
      <c r="R255" s="28">
        <v>154.08085700000001</v>
      </c>
    </row>
    <row r="256" spans="1:18" x14ac:dyDescent="0.25">
      <c r="A256" t="s">
        <v>18</v>
      </c>
      <c r="B256">
        <v>500</v>
      </c>
      <c r="C256">
        <v>105</v>
      </c>
      <c r="D256">
        <v>4</v>
      </c>
      <c r="E256" s="28">
        <v>3.3000000000000003E-5</v>
      </c>
      <c r="F256" s="28">
        <v>92.2</v>
      </c>
      <c r="G256" s="28">
        <v>47.6</v>
      </c>
      <c r="H256" s="28">
        <v>0.51626898047722347</v>
      </c>
      <c r="I256" s="28">
        <v>70.588200000000001</v>
      </c>
      <c r="J256" s="28">
        <v>29.411799999999999</v>
      </c>
      <c r="K256" s="28">
        <v>84.761899999999997</v>
      </c>
      <c r="L256" s="28">
        <v>84</v>
      </c>
      <c r="M256" s="28">
        <v>100</v>
      </c>
      <c r="N256" s="28">
        <v>1852.4655499999999</v>
      </c>
      <c r="O256" s="28">
        <v>256.3</v>
      </c>
      <c r="P256" s="28">
        <v>1595.9</v>
      </c>
      <c r="Q256" s="28">
        <v>0.26555000000000001</v>
      </c>
      <c r="R256" s="28">
        <v>151.90129999999999</v>
      </c>
    </row>
    <row r="257" spans="1:18" x14ac:dyDescent="0.25">
      <c r="A257" t="s">
        <v>18</v>
      </c>
      <c r="B257">
        <v>500</v>
      </c>
      <c r="C257">
        <v>105</v>
      </c>
      <c r="D257">
        <v>4</v>
      </c>
      <c r="E257" s="28">
        <v>3.1000000000000001E-5</v>
      </c>
      <c r="F257" s="28">
        <v>92.2</v>
      </c>
      <c r="G257" s="28">
        <v>45</v>
      </c>
      <c r="H257" s="28">
        <v>0.48806941431670281</v>
      </c>
      <c r="I257" s="28">
        <v>68.888900000000007</v>
      </c>
      <c r="J257" s="28">
        <v>31.1111</v>
      </c>
      <c r="K257" s="28">
        <v>78.095200000000006</v>
      </c>
      <c r="L257" s="28">
        <v>77</v>
      </c>
      <c r="M257" s="28">
        <v>100</v>
      </c>
      <c r="N257" s="28">
        <v>1941.3584599999999</v>
      </c>
      <c r="O257" s="28">
        <v>256.3</v>
      </c>
      <c r="P257" s="28">
        <v>1684.8</v>
      </c>
      <c r="Q257" s="28">
        <v>0.25846000000000002</v>
      </c>
      <c r="R257" s="28">
        <v>152.91798700000001</v>
      </c>
    </row>
    <row r="258" spans="1:18" x14ac:dyDescent="0.25">
      <c r="A258" t="s">
        <v>18</v>
      </c>
      <c r="B258">
        <v>500</v>
      </c>
      <c r="C258">
        <v>105</v>
      </c>
      <c r="D258">
        <v>4</v>
      </c>
      <c r="E258" s="28">
        <v>3.1000000000000001E-5</v>
      </c>
      <c r="F258" s="28">
        <v>92.2</v>
      </c>
      <c r="G258" s="28">
        <v>47.6</v>
      </c>
      <c r="H258" s="28">
        <v>0.51626898047722347</v>
      </c>
      <c r="I258" s="28">
        <v>66.806700000000006</v>
      </c>
      <c r="J258" s="28">
        <v>33.193300000000001</v>
      </c>
      <c r="K258" s="28">
        <v>84.761899999999997</v>
      </c>
      <c r="L258" s="28">
        <v>84</v>
      </c>
      <c r="M258" s="28">
        <v>100</v>
      </c>
      <c r="N258" s="28">
        <v>1839.6673699999999</v>
      </c>
      <c r="O258" s="28">
        <v>256.3</v>
      </c>
      <c r="P258" s="28">
        <v>1583.1</v>
      </c>
      <c r="Q258" s="28">
        <v>0.26737</v>
      </c>
      <c r="R258" s="28">
        <v>154.95174299999999</v>
      </c>
    </row>
    <row r="259" spans="1:18" x14ac:dyDescent="0.25">
      <c r="A259" t="s">
        <v>18</v>
      </c>
      <c r="B259">
        <v>500</v>
      </c>
      <c r="C259">
        <v>105</v>
      </c>
      <c r="D259">
        <v>4</v>
      </c>
      <c r="E259" s="28">
        <v>3.1999999999999999E-5</v>
      </c>
      <c r="F259" s="28">
        <v>92.2</v>
      </c>
      <c r="G259" s="28">
        <v>47.8</v>
      </c>
      <c r="H259" s="28">
        <v>0.51843817787418656</v>
      </c>
      <c r="I259" s="28">
        <v>70.292900000000003</v>
      </c>
      <c r="J259" s="28">
        <v>29.707100000000001</v>
      </c>
      <c r="K259" s="28">
        <v>85.714299999999994</v>
      </c>
      <c r="L259" s="28">
        <v>85</v>
      </c>
      <c r="M259" s="28">
        <v>100</v>
      </c>
      <c r="N259" s="28">
        <v>1840.3668399999999</v>
      </c>
      <c r="O259" s="28">
        <v>256.3</v>
      </c>
      <c r="P259" s="28">
        <v>1583.8</v>
      </c>
      <c r="Q259" s="28">
        <v>0.26684000000000002</v>
      </c>
      <c r="R259" s="28">
        <v>149.576897</v>
      </c>
    </row>
    <row r="260" spans="1:18" x14ac:dyDescent="0.25">
      <c r="A260" t="s">
        <v>18</v>
      </c>
      <c r="B260">
        <v>500</v>
      </c>
      <c r="C260">
        <v>105</v>
      </c>
      <c r="D260">
        <v>4</v>
      </c>
      <c r="E260" s="28">
        <v>3.1999999999999999E-5</v>
      </c>
      <c r="F260" s="28">
        <v>92.2</v>
      </c>
      <c r="G260" s="28">
        <v>46.8</v>
      </c>
      <c r="H260" s="28">
        <v>0.50759219088937091</v>
      </c>
      <c r="I260" s="28">
        <v>69.230800000000002</v>
      </c>
      <c r="J260" s="28">
        <v>30.769200000000001</v>
      </c>
      <c r="K260" s="28">
        <v>85.714299999999994</v>
      </c>
      <c r="L260" s="28">
        <v>85</v>
      </c>
      <c r="M260" s="28">
        <v>100</v>
      </c>
      <c r="N260" s="28">
        <v>1878.6667199999999</v>
      </c>
      <c r="O260" s="28">
        <v>256.3</v>
      </c>
      <c r="P260" s="28">
        <v>1622.1</v>
      </c>
      <c r="Q260" s="28">
        <v>0.26672000000000001</v>
      </c>
      <c r="R260" s="28">
        <v>154.33846199999999</v>
      </c>
    </row>
    <row r="261" spans="1:18" x14ac:dyDescent="0.25">
      <c r="A261" t="s">
        <v>18</v>
      </c>
      <c r="B261">
        <v>500</v>
      </c>
      <c r="C261">
        <v>105</v>
      </c>
      <c r="D261">
        <v>4</v>
      </c>
      <c r="E261" s="28">
        <v>3.1000000000000001E-5</v>
      </c>
      <c r="F261" s="28">
        <v>92.2</v>
      </c>
      <c r="G261" s="28">
        <v>45.6</v>
      </c>
      <c r="H261" s="28">
        <v>0.49457700650759218</v>
      </c>
      <c r="I261" s="28">
        <v>67.982500000000002</v>
      </c>
      <c r="J261" s="28">
        <v>32.017499999999998</v>
      </c>
      <c r="K261" s="28">
        <v>80</v>
      </c>
      <c r="L261" s="28">
        <v>79</v>
      </c>
      <c r="M261" s="28">
        <v>100</v>
      </c>
      <c r="N261" s="28">
        <v>1920.0606600000001</v>
      </c>
      <c r="O261" s="28">
        <v>256.3</v>
      </c>
      <c r="P261" s="28">
        <v>1663.5</v>
      </c>
      <c r="Q261" s="28">
        <v>0.26066</v>
      </c>
      <c r="R261" s="28">
        <v>155.41279299999999</v>
      </c>
    </row>
    <row r="262" spans="1:18" x14ac:dyDescent="0.25">
      <c r="A262" t="s">
        <v>18</v>
      </c>
      <c r="B262">
        <v>500</v>
      </c>
      <c r="C262">
        <v>105</v>
      </c>
      <c r="D262">
        <v>4</v>
      </c>
      <c r="E262" s="28">
        <v>3.3000000000000003E-5</v>
      </c>
      <c r="F262" s="28">
        <v>92.2</v>
      </c>
      <c r="G262" s="28">
        <v>47.4</v>
      </c>
      <c r="H262" s="28">
        <v>0.51409978308026028</v>
      </c>
      <c r="I262" s="28">
        <v>64.557000000000002</v>
      </c>
      <c r="J262" s="28">
        <v>35.442999999999998</v>
      </c>
      <c r="K262" s="28">
        <v>79.047600000000003</v>
      </c>
      <c r="L262" s="28">
        <v>78</v>
      </c>
      <c r="M262" s="28">
        <v>100</v>
      </c>
      <c r="N262" s="28">
        <v>1856.55825</v>
      </c>
      <c r="O262" s="28">
        <v>256.3</v>
      </c>
      <c r="P262" s="28">
        <v>1600</v>
      </c>
      <c r="Q262" s="28">
        <v>0.25824999999999998</v>
      </c>
      <c r="R262" s="28">
        <v>162.46963600000001</v>
      </c>
    </row>
    <row r="263" spans="1:18" x14ac:dyDescent="0.25">
      <c r="A263" t="s">
        <v>18</v>
      </c>
      <c r="B263">
        <v>500</v>
      </c>
      <c r="C263">
        <v>105</v>
      </c>
      <c r="D263">
        <v>4</v>
      </c>
      <c r="E263" s="28">
        <v>3.1000000000000001E-5</v>
      </c>
      <c r="F263" s="28">
        <v>92.2</v>
      </c>
      <c r="G263" s="28">
        <v>46.2</v>
      </c>
      <c r="H263" s="28">
        <v>0.50108459869848154</v>
      </c>
      <c r="I263" s="28">
        <v>65.800899999999999</v>
      </c>
      <c r="J263" s="28">
        <v>34.199100000000001</v>
      </c>
      <c r="K263" s="28">
        <v>80.952399999999997</v>
      </c>
      <c r="L263" s="28">
        <v>80</v>
      </c>
      <c r="M263" s="28">
        <v>100</v>
      </c>
      <c r="N263" s="28">
        <v>1931.5617199999999</v>
      </c>
      <c r="O263" s="28">
        <v>256.3</v>
      </c>
      <c r="P263" s="28">
        <v>1675</v>
      </c>
      <c r="Q263" s="28">
        <v>0.26172000000000001</v>
      </c>
      <c r="R263" s="28">
        <v>154.80096900000001</v>
      </c>
    </row>
    <row r="264" spans="1:18" x14ac:dyDescent="0.25">
      <c r="A264" t="s">
        <v>18</v>
      </c>
      <c r="B264">
        <v>500</v>
      </c>
      <c r="C264">
        <v>105</v>
      </c>
      <c r="D264">
        <v>4</v>
      </c>
      <c r="E264" s="28">
        <v>3.1000000000000001E-5</v>
      </c>
      <c r="F264" s="28">
        <v>92.2</v>
      </c>
      <c r="G264" s="28">
        <v>45.6</v>
      </c>
      <c r="H264" s="28">
        <v>0.49457700650759218</v>
      </c>
      <c r="I264" s="28">
        <v>66.666700000000006</v>
      </c>
      <c r="J264" s="28">
        <v>33.333300000000001</v>
      </c>
      <c r="K264" s="28">
        <v>76.1905</v>
      </c>
      <c r="L264" s="28">
        <v>75</v>
      </c>
      <c r="M264" s="28">
        <v>100</v>
      </c>
      <c r="N264" s="28">
        <v>1931.8545200000001</v>
      </c>
      <c r="O264" s="28">
        <v>256.3</v>
      </c>
      <c r="P264" s="28">
        <v>1675.3</v>
      </c>
      <c r="Q264" s="28">
        <v>0.25452000000000002</v>
      </c>
      <c r="R264" s="28">
        <v>156.57530700000001</v>
      </c>
    </row>
    <row r="265" spans="1:18" x14ac:dyDescent="0.25">
      <c r="A265" t="s">
        <v>18</v>
      </c>
      <c r="B265">
        <v>500</v>
      </c>
      <c r="C265">
        <v>105</v>
      </c>
      <c r="D265">
        <v>4</v>
      </c>
      <c r="E265" s="28">
        <v>3.3000000000000003E-5</v>
      </c>
      <c r="F265" s="28">
        <v>92.2</v>
      </c>
      <c r="G265" s="28">
        <v>47.2</v>
      </c>
      <c r="H265" s="28">
        <v>0.51193058568329719</v>
      </c>
      <c r="I265" s="28">
        <v>67.796599999999998</v>
      </c>
      <c r="J265" s="28">
        <v>32.203400000000002</v>
      </c>
      <c r="K265" s="28">
        <v>82.857100000000003</v>
      </c>
      <c r="L265" s="28">
        <v>82</v>
      </c>
      <c r="M265" s="28">
        <v>100</v>
      </c>
      <c r="N265" s="28">
        <v>1856.66499</v>
      </c>
      <c r="O265" s="28">
        <v>256.3</v>
      </c>
      <c r="P265" s="28">
        <v>1600.1</v>
      </c>
      <c r="Q265" s="28">
        <v>0.26499</v>
      </c>
      <c r="R265" s="28">
        <v>155.16205299999999</v>
      </c>
    </row>
    <row r="266" spans="1:18" x14ac:dyDescent="0.25">
      <c r="A266" t="s">
        <v>18</v>
      </c>
      <c r="B266">
        <v>500</v>
      </c>
      <c r="C266">
        <v>105</v>
      </c>
      <c r="D266">
        <v>4</v>
      </c>
      <c r="E266" s="28">
        <v>3.1000000000000001E-5</v>
      </c>
      <c r="F266" s="28">
        <v>92.2</v>
      </c>
      <c r="G266" s="28">
        <v>45.2</v>
      </c>
      <c r="H266" s="28">
        <v>0.49023861171366595</v>
      </c>
      <c r="I266" s="28">
        <v>67.699100000000001</v>
      </c>
      <c r="J266" s="28">
        <v>32.300899999999999</v>
      </c>
      <c r="K266" s="28">
        <v>78.095200000000006</v>
      </c>
      <c r="L266" s="28">
        <v>77</v>
      </c>
      <c r="M266" s="28">
        <v>100</v>
      </c>
      <c r="N266" s="28">
        <v>1949.0582099999999</v>
      </c>
      <c r="O266" s="28">
        <v>256.3</v>
      </c>
      <c r="P266" s="28">
        <v>1692.5</v>
      </c>
      <c r="Q266" s="28">
        <v>0.25821</v>
      </c>
      <c r="R266" s="28">
        <v>154.109408</v>
      </c>
    </row>
    <row r="267" spans="1:18" x14ac:dyDescent="0.25">
      <c r="A267" t="s">
        <v>18</v>
      </c>
      <c r="B267">
        <v>500</v>
      </c>
      <c r="C267">
        <v>105</v>
      </c>
      <c r="D267">
        <v>4</v>
      </c>
      <c r="E267" s="28">
        <v>3.1000000000000001E-5</v>
      </c>
      <c r="F267" s="28">
        <v>92.2</v>
      </c>
      <c r="G267" s="28">
        <v>45.8</v>
      </c>
      <c r="H267" s="28">
        <v>0.49674620390455526</v>
      </c>
      <c r="I267" s="28">
        <v>64.192099999999996</v>
      </c>
      <c r="J267" s="28">
        <v>35.807899999999997</v>
      </c>
      <c r="K267" s="28">
        <v>78.095200000000006</v>
      </c>
      <c r="L267" s="28">
        <v>77</v>
      </c>
      <c r="M267" s="28">
        <v>100</v>
      </c>
      <c r="N267" s="28">
        <v>1921.5586699999999</v>
      </c>
      <c r="O267" s="28">
        <v>256.3</v>
      </c>
      <c r="P267" s="28">
        <v>1665</v>
      </c>
      <c r="Q267" s="28">
        <v>0.25867000000000001</v>
      </c>
      <c r="R267" s="28">
        <v>158.54750799999999</v>
      </c>
    </row>
    <row r="268" spans="1:18" x14ac:dyDescent="0.25">
      <c r="A268" t="s">
        <v>18</v>
      </c>
      <c r="B268">
        <v>500</v>
      </c>
      <c r="C268">
        <v>105</v>
      </c>
      <c r="D268">
        <v>4</v>
      </c>
      <c r="E268" s="28">
        <v>3.1000000000000001E-5</v>
      </c>
      <c r="F268" s="28">
        <v>92.2</v>
      </c>
      <c r="G268" s="28">
        <v>45.6</v>
      </c>
      <c r="H268" s="28">
        <v>0.49457700650759218</v>
      </c>
      <c r="I268" s="28">
        <v>66.228099999999998</v>
      </c>
      <c r="J268" s="28">
        <v>33.771900000000002</v>
      </c>
      <c r="K268" s="28">
        <v>83.8095</v>
      </c>
      <c r="L268" s="28">
        <v>83</v>
      </c>
      <c r="M268" s="28">
        <v>100</v>
      </c>
      <c r="N268" s="28">
        <v>1904.8643</v>
      </c>
      <c r="O268" s="28">
        <v>256.3</v>
      </c>
      <c r="P268" s="28">
        <v>1648.3</v>
      </c>
      <c r="Q268" s="28">
        <v>0.26429999999999998</v>
      </c>
      <c r="R268" s="28">
        <v>157.401083</v>
      </c>
    </row>
    <row r="269" spans="1:18" x14ac:dyDescent="0.25">
      <c r="A269" t="s">
        <v>18</v>
      </c>
      <c r="B269">
        <v>500</v>
      </c>
      <c r="C269">
        <v>105</v>
      </c>
      <c r="D269">
        <v>4</v>
      </c>
      <c r="E269" s="28">
        <v>3.1999999999999999E-5</v>
      </c>
      <c r="F269" s="28">
        <v>92.2</v>
      </c>
      <c r="G269" s="28">
        <v>45.8</v>
      </c>
      <c r="H269" s="28">
        <v>0.49674620390455526</v>
      </c>
      <c r="I269" s="28">
        <v>65.938900000000004</v>
      </c>
      <c r="J269" s="28">
        <v>34.061100000000003</v>
      </c>
      <c r="K269" s="28">
        <v>77.142899999999997</v>
      </c>
      <c r="L269" s="28">
        <v>76</v>
      </c>
      <c r="M269" s="28">
        <v>100</v>
      </c>
      <c r="N269" s="28">
        <v>1870.55717</v>
      </c>
      <c r="O269" s="28">
        <v>256.3</v>
      </c>
      <c r="P269" s="28">
        <v>1614</v>
      </c>
      <c r="Q269" s="28">
        <v>0.25717000000000001</v>
      </c>
      <c r="R269" s="28">
        <v>159.164796</v>
      </c>
    </row>
    <row r="270" spans="1:18" x14ac:dyDescent="0.25">
      <c r="A270" t="s">
        <v>18</v>
      </c>
      <c r="B270">
        <v>500</v>
      </c>
      <c r="C270">
        <v>105</v>
      </c>
      <c r="D270">
        <v>4</v>
      </c>
      <c r="E270" s="28">
        <v>3.0000000000000001E-5</v>
      </c>
      <c r="F270" s="28">
        <v>92.2</v>
      </c>
      <c r="G270" s="28">
        <v>45.4</v>
      </c>
      <c r="H270" s="28">
        <v>0.49240780911062904</v>
      </c>
      <c r="I270" s="28">
        <v>70.0441</v>
      </c>
      <c r="J270" s="28">
        <v>29.9559</v>
      </c>
      <c r="K270" s="28">
        <v>84.761899999999997</v>
      </c>
      <c r="L270" s="28">
        <v>84</v>
      </c>
      <c r="M270" s="28">
        <v>100</v>
      </c>
      <c r="N270" s="28">
        <v>1919.56611</v>
      </c>
      <c r="O270" s="28">
        <v>256.3</v>
      </c>
      <c r="P270" s="28">
        <v>1663</v>
      </c>
      <c r="Q270" s="28">
        <v>0.26611000000000001</v>
      </c>
      <c r="R270" s="28">
        <v>149.01792399999999</v>
      </c>
    </row>
    <row r="271" spans="1:18" x14ac:dyDescent="0.25">
      <c r="A271" t="s">
        <v>18</v>
      </c>
      <c r="B271">
        <v>500</v>
      </c>
      <c r="C271">
        <v>105</v>
      </c>
      <c r="D271">
        <v>4</v>
      </c>
      <c r="E271" s="28">
        <v>3.1999999999999999E-5</v>
      </c>
      <c r="F271" s="28">
        <v>92.2</v>
      </c>
      <c r="G271" s="28">
        <v>47.2</v>
      </c>
      <c r="H271" s="28">
        <v>0.51193058568329719</v>
      </c>
      <c r="I271" s="28">
        <v>67.796599999999998</v>
      </c>
      <c r="J271" s="28">
        <v>32.203400000000002</v>
      </c>
      <c r="K271" s="28">
        <v>81.904799999999994</v>
      </c>
      <c r="L271" s="28">
        <v>81</v>
      </c>
      <c r="M271" s="28">
        <v>100</v>
      </c>
      <c r="N271" s="28">
        <v>1857.26349</v>
      </c>
      <c r="O271" s="28">
        <v>256.3</v>
      </c>
      <c r="P271" s="28">
        <v>1600.7</v>
      </c>
      <c r="Q271" s="28">
        <v>0.26349</v>
      </c>
      <c r="R271" s="28">
        <v>153.75852599999999</v>
      </c>
    </row>
    <row r="272" spans="1:18" x14ac:dyDescent="0.25">
      <c r="A272" t="s">
        <v>18</v>
      </c>
      <c r="B272">
        <v>500</v>
      </c>
      <c r="C272">
        <v>105</v>
      </c>
      <c r="D272">
        <v>4</v>
      </c>
      <c r="E272" s="28">
        <v>3.1999999999999999E-5</v>
      </c>
      <c r="F272" s="28">
        <v>92.2</v>
      </c>
      <c r="G272" s="28">
        <v>47.4</v>
      </c>
      <c r="H272" s="28">
        <v>0.51409978308026028</v>
      </c>
      <c r="I272" s="28">
        <v>66.244699999999995</v>
      </c>
      <c r="J272" s="28">
        <v>33.755299999999998</v>
      </c>
      <c r="K272" s="28">
        <v>78.095200000000006</v>
      </c>
      <c r="L272" s="28">
        <v>77</v>
      </c>
      <c r="M272" s="28">
        <v>100</v>
      </c>
      <c r="N272" s="28">
        <v>1873.75837</v>
      </c>
      <c r="O272" s="28">
        <v>256.3</v>
      </c>
      <c r="P272" s="28">
        <v>1617.2</v>
      </c>
      <c r="Q272" s="28">
        <v>0.25836999999999999</v>
      </c>
      <c r="R272" s="28">
        <v>155.376858</v>
      </c>
    </row>
    <row r="273" spans="1:18" x14ac:dyDescent="0.25">
      <c r="A273" t="s">
        <v>18</v>
      </c>
      <c r="B273">
        <v>500</v>
      </c>
      <c r="C273">
        <v>105</v>
      </c>
      <c r="D273">
        <v>4</v>
      </c>
      <c r="E273" s="28">
        <v>3.1000000000000001E-5</v>
      </c>
      <c r="F273" s="28">
        <v>92.2</v>
      </c>
      <c r="G273" s="28">
        <v>45.6</v>
      </c>
      <c r="H273" s="28">
        <v>0.49457700650759218</v>
      </c>
      <c r="I273" s="28">
        <v>68.8596</v>
      </c>
      <c r="J273" s="28">
        <v>31.1404</v>
      </c>
      <c r="K273" s="28">
        <v>80.952399999999997</v>
      </c>
      <c r="L273" s="28">
        <v>80</v>
      </c>
      <c r="M273" s="28">
        <v>100</v>
      </c>
      <c r="N273" s="28">
        <v>1911.2617499999999</v>
      </c>
      <c r="O273" s="28">
        <v>256.3</v>
      </c>
      <c r="P273" s="28">
        <v>1654.7</v>
      </c>
      <c r="Q273" s="28">
        <v>0.26174999999999998</v>
      </c>
      <c r="R273" s="28">
        <v>155.53097700000001</v>
      </c>
    </row>
    <row r="274" spans="1:18" x14ac:dyDescent="0.25">
      <c r="A274" t="s">
        <v>18</v>
      </c>
      <c r="B274">
        <v>500</v>
      </c>
      <c r="C274">
        <v>105</v>
      </c>
      <c r="D274">
        <v>4</v>
      </c>
      <c r="E274" s="28">
        <v>3.1999999999999999E-5</v>
      </c>
      <c r="F274" s="28">
        <v>92.2</v>
      </c>
      <c r="G274" s="28">
        <v>46.4</v>
      </c>
      <c r="H274" s="28">
        <v>0.50325379609544463</v>
      </c>
      <c r="I274" s="28">
        <v>69.396600000000007</v>
      </c>
      <c r="J274" s="28">
        <v>30.603400000000001</v>
      </c>
      <c r="K274" s="28">
        <v>80</v>
      </c>
      <c r="L274" s="28">
        <v>79</v>
      </c>
      <c r="M274" s="28">
        <v>100</v>
      </c>
      <c r="N274" s="28">
        <v>1887.86124</v>
      </c>
      <c r="O274" s="28">
        <v>256.3</v>
      </c>
      <c r="P274" s="28">
        <v>1631.3</v>
      </c>
      <c r="Q274" s="28">
        <v>0.26124000000000003</v>
      </c>
      <c r="R274" s="28">
        <v>153.27884399999999</v>
      </c>
    </row>
    <row r="275" spans="1:18" x14ac:dyDescent="0.25">
      <c r="A275" t="s">
        <v>18</v>
      </c>
      <c r="B275">
        <v>500</v>
      </c>
      <c r="C275">
        <v>105</v>
      </c>
      <c r="D275">
        <v>4</v>
      </c>
      <c r="E275" s="28">
        <v>3.1000000000000001E-5</v>
      </c>
      <c r="F275" s="28">
        <v>92.2</v>
      </c>
      <c r="G275" s="28">
        <v>44.6</v>
      </c>
      <c r="H275" s="28">
        <v>0.48373101952277658</v>
      </c>
      <c r="I275" s="28">
        <v>67.712999999999994</v>
      </c>
      <c r="J275" s="28">
        <v>32.286999999999999</v>
      </c>
      <c r="K275" s="28">
        <v>79.047600000000003</v>
      </c>
      <c r="L275" s="28">
        <v>78</v>
      </c>
      <c r="M275" s="28">
        <v>100</v>
      </c>
      <c r="N275" s="28">
        <v>1941.1588999999999</v>
      </c>
      <c r="O275" s="28">
        <v>256.3</v>
      </c>
      <c r="P275" s="28">
        <v>1684.6</v>
      </c>
      <c r="Q275" s="28">
        <v>0.25890000000000002</v>
      </c>
      <c r="R275" s="28">
        <v>152.663557</v>
      </c>
    </row>
    <row r="276" spans="1:18" x14ac:dyDescent="0.25">
      <c r="A276" t="s">
        <v>18</v>
      </c>
      <c r="B276">
        <v>500</v>
      </c>
      <c r="C276">
        <v>105</v>
      </c>
      <c r="D276">
        <v>4</v>
      </c>
      <c r="E276" s="28">
        <v>3.1999999999999999E-5</v>
      </c>
      <c r="F276" s="28">
        <v>92.2</v>
      </c>
      <c r="G276" s="28">
        <v>46.2</v>
      </c>
      <c r="H276" s="28">
        <v>0.50108459869848154</v>
      </c>
      <c r="I276" s="28">
        <v>64.069299999999998</v>
      </c>
      <c r="J276" s="28">
        <v>35.930700000000002</v>
      </c>
      <c r="K276" s="28">
        <v>79.047600000000003</v>
      </c>
      <c r="L276" s="28">
        <v>78</v>
      </c>
      <c r="M276" s="28">
        <v>100</v>
      </c>
      <c r="N276" s="28">
        <v>1914.55889</v>
      </c>
      <c r="O276" s="28">
        <v>256.3</v>
      </c>
      <c r="P276" s="28">
        <v>1658</v>
      </c>
      <c r="Q276" s="28">
        <v>0.25889000000000001</v>
      </c>
      <c r="R276" s="28">
        <v>158.91713200000001</v>
      </c>
    </row>
    <row r="277" spans="1:18" x14ac:dyDescent="0.25">
      <c r="A277" t="s">
        <v>18</v>
      </c>
      <c r="B277">
        <v>500</v>
      </c>
      <c r="C277">
        <v>105</v>
      </c>
      <c r="D277">
        <v>4</v>
      </c>
      <c r="E277" s="28">
        <v>3.1000000000000001E-5</v>
      </c>
      <c r="F277" s="28">
        <v>92.2</v>
      </c>
      <c r="G277" s="28">
        <v>44.4</v>
      </c>
      <c r="H277" s="28">
        <v>0.48156182212581344</v>
      </c>
      <c r="I277" s="28">
        <v>71.621600000000001</v>
      </c>
      <c r="J277" s="28">
        <v>28.378399999999999</v>
      </c>
      <c r="K277" s="28">
        <v>83.8095</v>
      </c>
      <c r="L277" s="28">
        <v>83</v>
      </c>
      <c r="M277" s="28">
        <v>100</v>
      </c>
      <c r="N277" s="28">
        <v>1978.4648</v>
      </c>
      <c r="O277" s="28">
        <v>256.3</v>
      </c>
      <c r="P277" s="28">
        <v>1721.9</v>
      </c>
      <c r="Q277" s="28">
        <v>0.26479999999999998</v>
      </c>
      <c r="R277" s="28">
        <v>143.72395599999999</v>
      </c>
    </row>
    <row r="278" spans="1:18" x14ac:dyDescent="0.25">
      <c r="A278" t="s">
        <v>18</v>
      </c>
      <c r="B278">
        <v>500</v>
      </c>
      <c r="C278">
        <v>105</v>
      </c>
      <c r="D278">
        <v>4</v>
      </c>
      <c r="E278" s="28">
        <v>3.1000000000000001E-5</v>
      </c>
      <c r="F278" s="28">
        <v>92.2</v>
      </c>
      <c r="G278" s="28">
        <v>44.2</v>
      </c>
      <c r="H278" s="28">
        <v>0.47939262472885036</v>
      </c>
      <c r="I278" s="28">
        <v>67.8733</v>
      </c>
      <c r="J278" s="28">
        <v>32.1267</v>
      </c>
      <c r="K278" s="28">
        <v>77.142899999999997</v>
      </c>
      <c r="L278" s="28">
        <v>76</v>
      </c>
      <c r="M278" s="28">
        <v>100</v>
      </c>
      <c r="N278" s="28">
        <v>1966.75731</v>
      </c>
      <c r="O278" s="28">
        <v>256.3</v>
      </c>
      <c r="P278" s="28">
        <v>1710.2</v>
      </c>
      <c r="Q278" s="28">
        <v>0.25730999999999998</v>
      </c>
      <c r="R278" s="28">
        <v>154.99047899999999</v>
      </c>
    </row>
    <row r="279" spans="1:18" x14ac:dyDescent="0.25">
      <c r="A279" t="s">
        <v>18</v>
      </c>
      <c r="B279">
        <v>500</v>
      </c>
      <c r="C279">
        <v>105</v>
      </c>
      <c r="D279">
        <v>4</v>
      </c>
      <c r="E279" s="28">
        <v>3.1000000000000001E-5</v>
      </c>
      <c r="F279" s="28">
        <v>92.2</v>
      </c>
      <c r="G279" s="28">
        <v>44.8</v>
      </c>
      <c r="H279" s="28">
        <v>0.48590021691973967</v>
      </c>
      <c r="I279" s="28">
        <v>63.392899999999997</v>
      </c>
      <c r="J279" s="28">
        <v>36.607100000000003</v>
      </c>
      <c r="K279" s="28">
        <v>77.142899999999997</v>
      </c>
      <c r="L279" s="28">
        <v>76</v>
      </c>
      <c r="M279" s="28">
        <v>100</v>
      </c>
      <c r="N279" s="28">
        <v>1924.2570800000001</v>
      </c>
      <c r="O279" s="28">
        <v>256.3</v>
      </c>
      <c r="P279" s="28">
        <v>1667.7</v>
      </c>
      <c r="Q279" s="28">
        <v>0.25707999999999998</v>
      </c>
      <c r="R279" s="28">
        <v>161.61410799999999</v>
      </c>
    </row>
    <row r="280" spans="1:18" x14ac:dyDescent="0.25">
      <c r="A280" t="s">
        <v>18</v>
      </c>
      <c r="B280">
        <v>500</v>
      </c>
      <c r="C280">
        <v>105</v>
      </c>
      <c r="D280">
        <v>4</v>
      </c>
      <c r="E280" s="28">
        <v>3.1999999999999999E-5</v>
      </c>
      <c r="F280" s="28">
        <v>92.2</v>
      </c>
      <c r="G280" s="28">
        <v>47.6</v>
      </c>
      <c r="H280" s="28">
        <v>0.51626898047722347</v>
      </c>
      <c r="I280" s="28">
        <v>67.647099999999995</v>
      </c>
      <c r="J280" s="28">
        <v>32.352899999999998</v>
      </c>
      <c r="K280" s="28">
        <v>82.857100000000003</v>
      </c>
      <c r="L280" s="28">
        <v>82</v>
      </c>
      <c r="M280" s="28">
        <v>100</v>
      </c>
      <c r="N280" s="28">
        <v>1851.26358</v>
      </c>
      <c r="O280" s="28">
        <v>256.3</v>
      </c>
      <c r="P280" s="28">
        <v>1594.7</v>
      </c>
      <c r="Q280" s="28">
        <v>0.26357999999999998</v>
      </c>
      <c r="R280" s="28">
        <v>153.52471600000001</v>
      </c>
    </row>
    <row r="281" spans="1:18" x14ac:dyDescent="0.25">
      <c r="A281" t="s">
        <v>18</v>
      </c>
      <c r="B281">
        <v>500</v>
      </c>
      <c r="C281">
        <v>105</v>
      </c>
      <c r="D281">
        <v>4</v>
      </c>
      <c r="E281" s="28">
        <v>3.1000000000000001E-5</v>
      </c>
      <c r="F281" s="28">
        <v>92.2</v>
      </c>
      <c r="G281" s="28">
        <v>45.8</v>
      </c>
      <c r="H281" s="28">
        <v>0.49674620390455526</v>
      </c>
      <c r="I281" s="28">
        <v>65.938900000000004</v>
      </c>
      <c r="J281" s="28">
        <v>34.061100000000003</v>
      </c>
      <c r="K281" s="28">
        <v>80</v>
      </c>
      <c r="L281" s="28">
        <v>79</v>
      </c>
      <c r="M281" s="28">
        <v>100</v>
      </c>
      <c r="N281" s="28">
        <v>1895.3598999999999</v>
      </c>
      <c r="O281" s="28">
        <v>256.3</v>
      </c>
      <c r="P281" s="28">
        <v>1638.8</v>
      </c>
      <c r="Q281" s="28">
        <v>0.25990000000000002</v>
      </c>
      <c r="R281" s="28">
        <v>156.32089300000001</v>
      </c>
    </row>
    <row r="282" spans="1:18" x14ac:dyDescent="0.25">
      <c r="A282" t="s">
        <v>18</v>
      </c>
      <c r="B282">
        <v>500</v>
      </c>
      <c r="C282">
        <v>105</v>
      </c>
      <c r="D282">
        <v>4</v>
      </c>
      <c r="E282" s="28">
        <v>3.0000000000000001E-5</v>
      </c>
      <c r="F282" s="28">
        <v>92.2</v>
      </c>
      <c r="G282" s="28">
        <v>44.2</v>
      </c>
      <c r="H282" s="28">
        <v>0.47939262472885036</v>
      </c>
      <c r="I282" s="28">
        <v>70.588200000000001</v>
      </c>
      <c r="J282" s="28">
        <v>29.411799999999999</v>
      </c>
      <c r="K282" s="28">
        <v>85.714299999999994</v>
      </c>
      <c r="L282" s="28">
        <v>85</v>
      </c>
      <c r="M282" s="28">
        <v>100</v>
      </c>
      <c r="N282" s="28">
        <v>1950.76629</v>
      </c>
      <c r="O282" s="28">
        <v>256.3</v>
      </c>
      <c r="P282" s="28">
        <v>1694.2</v>
      </c>
      <c r="Q282" s="28">
        <v>0.26629000000000003</v>
      </c>
      <c r="R282" s="28">
        <v>154.08866900000001</v>
      </c>
    </row>
    <row r="283" spans="1:18" x14ac:dyDescent="0.25">
      <c r="A283" t="s">
        <v>18</v>
      </c>
      <c r="B283">
        <v>500</v>
      </c>
      <c r="C283">
        <v>105</v>
      </c>
      <c r="D283">
        <v>4</v>
      </c>
      <c r="E283" s="28">
        <v>3.1000000000000001E-5</v>
      </c>
      <c r="F283" s="28">
        <v>92.2</v>
      </c>
      <c r="G283" s="28">
        <v>45.6</v>
      </c>
      <c r="H283" s="28">
        <v>0.49457700650759218</v>
      </c>
      <c r="I283" s="28">
        <v>65.789500000000004</v>
      </c>
      <c r="J283" s="28">
        <v>34.210500000000003</v>
      </c>
      <c r="K283" s="28">
        <v>82.857100000000003</v>
      </c>
      <c r="L283" s="28">
        <v>82</v>
      </c>
      <c r="M283" s="28">
        <v>100</v>
      </c>
      <c r="N283" s="28">
        <v>1928.0634700000001</v>
      </c>
      <c r="O283" s="28">
        <v>256.3</v>
      </c>
      <c r="P283" s="28">
        <v>1671.5</v>
      </c>
      <c r="Q283" s="28">
        <v>0.26346999999999998</v>
      </c>
      <c r="R283" s="28">
        <v>157.19807</v>
      </c>
    </row>
    <row r="284" spans="1:18" x14ac:dyDescent="0.25">
      <c r="A284" t="s">
        <v>18</v>
      </c>
      <c r="B284">
        <v>500</v>
      </c>
      <c r="C284">
        <v>105</v>
      </c>
      <c r="D284">
        <v>4</v>
      </c>
      <c r="E284" s="28">
        <v>3.1999999999999999E-5</v>
      </c>
      <c r="F284" s="28">
        <v>92.2</v>
      </c>
      <c r="G284" s="28">
        <v>46</v>
      </c>
      <c r="H284" s="28">
        <v>0.4989154013015184</v>
      </c>
      <c r="I284" s="28">
        <v>63.912999999999997</v>
      </c>
      <c r="J284" s="28">
        <v>36.087000000000003</v>
      </c>
      <c r="K284" s="28">
        <v>77.142899999999997</v>
      </c>
      <c r="L284" s="28">
        <v>76</v>
      </c>
      <c r="M284" s="28">
        <v>100</v>
      </c>
      <c r="N284" s="28">
        <v>1884.85707</v>
      </c>
      <c r="O284" s="28">
        <v>256.3</v>
      </c>
      <c r="P284" s="28">
        <v>1628.3</v>
      </c>
      <c r="Q284" s="28">
        <v>0.25707000000000002</v>
      </c>
      <c r="R284" s="28">
        <v>159.79165399999999</v>
      </c>
    </row>
    <row r="285" spans="1:18" x14ac:dyDescent="0.25">
      <c r="A285" t="s">
        <v>18</v>
      </c>
      <c r="B285">
        <v>500</v>
      </c>
      <c r="C285">
        <v>105</v>
      </c>
      <c r="D285">
        <v>4</v>
      </c>
      <c r="E285" s="28">
        <v>3.1000000000000001E-5</v>
      </c>
      <c r="F285" s="28">
        <v>92.2</v>
      </c>
      <c r="G285" s="28">
        <v>44.4</v>
      </c>
      <c r="H285" s="28">
        <v>0.48156182212581344</v>
      </c>
      <c r="I285" s="28">
        <v>65.315299999999993</v>
      </c>
      <c r="J285" s="28">
        <v>34.684699999999999</v>
      </c>
      <c r="K285" s="28">
        <v>78.095200000000006</v>
      </c>
      <c r="L285" s="28">
        <v>77</v>
      </c>
      <c r="M285" s="28">
        <v>100</v>
      </c>
      <c r="N285" s="28">
        <v>1928.2578100000001</v>
      </c>
      <c r="O285" s="28">
        <v>256.3</v>
      </c>
      <c r="P285" s="28">
        <v>1671.7</v>
      </c>
      <c r="Q285" s="28">
        <v>0.25780999999999998</v>
      </c>
      <c r="R285" s="28">
        <v>157.73075900000001</v>
      </c>
    </row>
    <row r="286" spans="1:18" x14ac:dyDescent="0.25">
      <c r="A286" t="s">
        <v>18</v>
      </c>
      <c r="B286">
        <v>500</v>
      </c>
      <c r="C286">
        <v>105</v>
      </c>
      <c r="D286">
        <v>4</v>
      </c>
      <c r="E286" s="28">
        <v>3.1000000000000001E-5</v>
      </c>
      <c r="F286" s="28">
        <v>92.2</v>
      </c>
      <c r="G286" s="28">
        <v>47.6</v>
      </c>
      <c r="H286" s="28">
        <v>0.51626898047722347</v>
      </c>
      <c r="I286" s="28">
        <v>65.966399999999993</v>
      </c>
      <c r="J286" s="28">
        <v>34.0336</v>
      </c>
      <c r="K286" s="28">
        <v>81.904799999999994</v>
      </c>
      <c r="L286" s="28">
        <v>81</v>
      </c>
      <c r="M286" s="28">
        <v>100</v>
      </c>
      <c r="N286" s="28">
        <v>1823.86275</v>
      </c>
      <c r="O286" s="28">
        <v>256.3</v>
      </c>
      <c r="P286" s="28">
        <v>1567.3</v>
      </c>
      <c r="Q286" s="28">
        <v>0.26274999999999998</v>
      </c>
      <c r="R286" s="28">
        <v>160.21604199999999</v>
      </c>
    </row>
    <row r="287" spans="1:18" x14ac:dyDescent="0.25">
      <c r="A287" t="s">
        <v>18</v>
      </c>
      <c r="B287">
        <v>500</v>
      </c>
      <c r="C287">
        <v>105</v>
      </c>
      <c r="D287">
        <v>4</v>
      </c>
      <c r="E287" s="28">
        <v>3.1000000000000001E-5</v>
      </c>
      <c r="F287" s="28">
        <v>92.2</v>
      </c>
      <c r="G287" s="28">
        <v>46.2</v>
      </c>
      <c r="H287" s="28">
        <v>0.50108459869848154</v>
      </c>
      <c r="I287" s="28">
        <v>65.800899999999999</v>
      </c>
      <c r="J287" s="28">
        <v>34.199100000000001</v>
      </c>
      <c r="K287" s="28">
        <v>80.952399999999997</v>
      </c>
      <c r="L287" s="28">
        <v>80</v>
      </c>
      <c r="M287" s="28">
        <v>100</v>
      </c>
      <c r="N287" s="28">
        <v>1886.7610400000001</v>
      </c>
      <c r="O287" s="28">
        <v>256.3</v>
      </c>
      <c r="P287" s="28">
        <v>1630.2</v>
      </c>
      <c r="Q287" s="28">
        <v>0.26103999999999999</v>
      </c>
      <c r="R287" s="28">
        <v>159.31815900000001</v>
      </c>
    </row>
    <row r="288" spans="1:18" x14ac:dyDescent="0.25">
      <c r="A288" t="s">
        <v>18</v>
      </c>
      <c r="B288">
        <v>500</v>
      </c>
      <c r="C288">
        <v>105</v>
      </c>
      <c r="D288">
        <v>4</v>
      </c>
      <c r="E288" s="28">
        <v>3.1000000000000001E-5</v>
      </c>
      <c r="F288" s="28">
        <v>92.2</v>
      </c>
      <c r="G288" s="28">
        <v>44.8</v>
      </c>
      <c r="H288" s="28">
        <v>0.48590021691973967</v>
      </c>
      <c r="I288" s="28">
        <v>62.053600000000003</v>
      </c>
      <c r="J288" s="28">
        <v>37.946399999999997</v>
      </c>
      <c r="K288" s="28">
        <v>77.142899999999997</v>
      </c>
      <c r="L288" s="28">
        <v>76</v>
      </c>
      <c r="M288" s="28">
        <v>100</v>
      </c>
      <c r="N288" s="28">
        <v>1941.2566400000001</v>
      </c>
      <c r="O288" s="28">
        <v>256.3</v>
      </c>
      <c r="P288" s="28">
        <v>1684.7</v>
      </c>
      <c r="Q288" s="28">
        <v>0.25663999999999998</v>
      </c>
      <c r="R288" s="28">
        <v>163.416155</v>
      </c>
    </row>
    <row r="289" spans="1:18" x14ac:dyDescent="0.25">
      <c r="A289" t="s">
        <v>18</v>
      </c>
      <c r="B289">
        <v>500</v>
      </c>
      <c r="C289">
        <v>105</v>
      </c>
      <c r="D289">
        <v>4</v>
      </c>
      <c r="E289" s="28">
        <v>3.1999999999999999E-5</v>
      </c>
      <c r="F289" s="28">
        <v>92.2</v>
      </c>
      <c r="G289" s="28">
        <v>46.4</v>
      </c>
      <c r="H289" s="28">
        <v>0.50325379609544463</v>
      </c>
      <c r="I289" s="28">
        <v>66.810299999999998</v>
      </c>
      <c r="J289" s="28">
        <v>33.189700000000002</v>
      </c>
      <c r="K289" s="28">
        <v>80</v>
      </c>
      <c r="L289" s="28">
        <v>79</v>
      </c>
      <c r="M289" s="28">
        <v>100</v>
      </c>
      <c r="N289" s="28">
        <v>1858.2610999999999</v>
      </c>
      <c r="O289" s="28">
        <v>256.3</v>
      </c>
      <c r="P289" s="28">
        <v>1601.7</v>
      </c>
      <c r="Q289" s="28">
        <v>0.2611</v>
      </c>
      <c r="R289" s="28">
        <v>158.160631</v>
      </c>
    </row>
    <row r="290" spans="1:18" x14ac:dyDescent="0.25">
      <c r="A290" t="s">
        <v>18</v>
      </c>
      <c r="B290">
        <v>500</v>
      </c>
      <c r="C290">
        <v>105</v>
      </c>
      <c r="D290">
        <v>4</v>
      </c>
      <c r="E290" s="28">
        <v>3.3000000000000003E-5</v>
      </c>
      <c r="F290" s="28">
        <v>92.2</v>
      </c>
      <c r="G290" s="28">
        <v>49</v>
      </c>
      <c r="H290" s="28">
        <v>0.53145336225596529</v>
      </c>
      <c r="I290" s="28">
        <v>65.714299999999994</v>
      </c>
      <c r="J290" s="28">
        <v>34.285699999999999</v>
      </c>
      <c r="K290" s="28">
        <v>81.904799999999994</v>
      </c>
      <c r="L290" s="28">
        <v>81</v>
      </c>
      <c r="M290" s="28">
        <v>100</v>
      </c>
      <c r="N290" s="28">
        <v>1801.1624300000001</v>
      </c>
      <c r="O290" s="28">
        <v>256.3</v>
      </c>
      <c r="P290" s="28">
        <v>1544.6</v>
      </c>
      <c r="Q290" s="28">
        <v>0.26243</v>
      </c>
      <c r="R290" s="28">
        <v>157.96249800000001</v>
      </c>
    </row>
    <row r="291" spans="1:18" x14ac:dyDescent="0.25">
      <c r="A291" t="s">
        <v>18</v>
      </c>
      <c r="B291">
        <v>500</v>
      </c>
      <c r="C291">
        <v>105</v>
      </c>
      <c r="D291">
        <v>4</v>
      </c>
      <c r="E291" s="28">
        <v>3.3000000000000003E-5</v>
      </c>
      <c r="F291" s="28">
        <v>92.2</v>
      </c>
      <c r="G291" s="28">
        <v>46.8</v>
      </c>
      <c r="H291" s="28">
        <v>0.50759219088937091</v>
      </c>
      <c r="I291" s="28">
        <v>69.230800000000002</v>
      </c>
      <c r="J291" s="28">
        <v>30.769200000000001</v>
      </c>
      <c r="K291" s="28">
        <v>79.047600000000003</v>
      </c>
      <c r="L291" s="28">
        <v>78</v>
      </c>
      <c r="M291" s="28">
        <v>100</v>
      </c>
      <c r="N291" s="28">
        <v>1892.6606099999999</v>
      </c>
      <c r="O291" s="28">
        <v>256.3</v>
      </c>
      <c r="P291" s="28">
        <v>1636.1</v>
      </c>
      <c r="Q291" s="28">
        <v>0.26061000000000001</v>
      </c>
      <c r="R291" s="28">
        <v>151.04450199999999</v>
      </c>
    </row>
    <row r="292" spans="1:18" x14ac:dyDescent="0.25">
      <c r="A292" t="s">
        <v>18</v>
      </c>
      <c r="B292">
        <v>500</v>
      </c>
      <c r="C292">
        <v>105</v>
      </c>
      <c r="D292">
        <v>4</v>
      </c>
      <c r="E292" s="28">
        <v>3.0000000000000001E-5</v>
      </c>
      <c r="F292" s="28">
        <v>92.2</v>
      </c>
      <c r="G292" s="28">
        <v>45</v>
      </c>
      <c r="H292" s="28">
        <v>0.48806941431670281</v>
      </c>
      <c r="I292" s="28">
        <v>68</v>
      </c>
      <c r="J292" s="28">
        <v>32</v>
      </c>
      <c r="K292" s="28">
        <v>81.904799999999994</v>
      </c>
      <c r="L292" s="28">
        <v>81</v>
      </c>
      <c r="M292" s="28">
        <v>100</v>
      </c>
      <c r="N292" s="28">
        <v>1934.7628500000001</v>
      </c>
      <c r="O292" s="28">
        <v>256.3</v>
      </c>
      <c r="P292" s="28">
        <v>1678.2</v>
      </c>
      <c r="Q292" s="28">
        <v>0.26284999999999997</v>
      </c>
      <c r="R292" s="28">
        <v>154.56532799999999</v>
      </c>
    </row>
    <row r="293" spans="1:18" x14ac:dyDescent="0.25">
      <c r="A293" t="s">
        <v>18</v>
      </c>
      <c r="B293">
        <v>500</v>
      </c>
      <c r="C293">
        <v>105</v>
      </c>
      <c r="D293">
        <v>4</v>
      </c>
      <c r="E293" s="28">
        <v>3.1999999999999999E-5</v>
      </c>
      <c r="F293" s="28">
        <v>92.2</v>
      </c>
      <c r="G293" s="28">
        <v>47.6</v>
      </c>
      <c r="H293" s="28">
        <v>0.51626898047722347</v>
      </c>
      <c r="I293" s="28">
        <v>67.647099999999995</v>
      </c>
      <c r="J293" s="28">
        <v>32.352899999999998</v>
      </c>
      <c r="K293" s="28">
        <v>83.8095</v>
      </c>
      <c r="L293" s="28">
        <v>83</v>
      </c>
      <c r="M293" s="28">
        <v>100</v>
      </c>
      <c r="N293" s="28">
        <v>1843.66534</v>
      </c>
      <c r="O293" s="28">
        <v>256.3</v>
      </c>
      <c r="P293" s="28">
        <v>1587.1</v>
      </c>
      <c r="Q293" s="28">
        <v>0.26534000000000002</v>
      </c>
      <c r="R293" s="28">
        <v>154.331433</v>
      </c>
    </row>
    <row r="294" spans="1:18" x14ac:dyDescent="0.25">
      <c r="A294" t="s">
        <v>18</v>
      </c>
      <c r="B294">
        <v>500</v>
      </c>
      <c r="C294">
        <v>105</v>
      </c>
      <c r="D294">
        <v>4</v>
      </c>
      <c r="E294" s="28">
        <v>3.1999999999999999E-5</v>
      </c>
      <c r="F294" s="28">
        <v>92.2</v>
      </c>
      <c r="G294" s="28">
        <v>46.8</v>
      </c>
      <c r="H294" s="28">
        <v>0.50759219088937091</v>
      </c>
      <c r="I294" s="28">
        <v>65.811999999999998</v>
      </c>
      <c r="J294" s="28">
        <v>34.188000000000002</v>
      </c>
      <c r="K294" s="28">
        <v>77.142899999999997</v>
      </c>
      <c r="L294" s="28">
        <v>76</v>
      </c>
      <c r="M294" s="28">
        <v>100</v>
      </c>
      <c r="N294" s="28">
        <v>1871.45722</v>
      </c>
      <c r="O294" s="28">
        <v>256.3</v>
      </c>
      <c r="P294" s="28">
        <v>1614.9</v>
      </c>
      <c r="Q294" s="28">
        <v>0.25722</v>
      </c>
      <c r="R294" s="28">
        <v>159.16082599999999</v>
      </c>
    </row>
    <row r="295" spans="1:18" x14ac:dyDescent="0.25">
      <c r="A295" t="s">
        <v>18</v>
      </c>
      <c r="B295">
        <v>500</v>
      </c>
      <c r="C295">
        <v>105</v>
      </c>
      <c r="D295">
        <v>4</v>
      </c>
      <c r="E295" s="28">
        <v>3.1000000000000001E-5</v>
      </c>
      <c r="F295" s="28">
        <v>92.2</v>
      </c>
      <c r="G295" s="28">
        <v>45.2</v>
      </c>
      <c r="H295" s="28">
        <v>0.49023861171366595</v>
      </c>
      <c r="I295" s="28">
        <v>65.929199999999994</v>
      </c>
      <c r="J295" s="28">
        <v>34.070799999999998</v>
      </c>
      <c r="K295" s="28">
        <v>78.095200000000006</v>
      </c>
      <c r="L295" s="28">
        <v>77</v>
      </c>
      <c r="M295" s="28">
        <v>100</v>
      </c>
      <c r="N295" s="28">
        <v>1898.65932</v>
      </c>
      <c r="O295" s="28">
        <v>256.3</v>
      </c>
      <c r="P295" s="28">
        <v>1642.1</v>
      </c>
      <c r="Q295" s="28">
        <v>0.25931999999999999</v>
      </c>
      <c r="R295" s="28">
        <v>156.858744</v>
      </c>
    </row>
    <row r="296" spans="1:18" x14ac:dyDescent="0.25">
      <c r="A296" t="s">
        <v>18</v>
      </c>
      <c r="B296">
        <v>500</v>
      </c>
      <c r="C296">
        <v>105</v>
      </c>
      <c r="D296">
        <v>4</v>
      </c>
      <c r="E296" s="28">
        <v>3.1999999999999999E-5</v>
      </c>
      <c r="F296" s="28">
        <v>92.2</v>
      </c>
      <c r="G296" s="28">
        <v>46.6</v>
      </c>
      <c r="H296" s="28">
        <v>0.50542299349240782</v>
      </c>
      <c r="I296" s="28">
        <v>63.948500000000003</v>
      </c>
      <c r="J296" s="28">
        <v>36.051499999999997</v>
      </c>
      <c r="K296" s="28">
        <v>77.142899999999997</v>
      </c>
      <c r="L296" s="28">
        <v>76</v>
      </c>
      <c r="M296" s="28">
        <v>100</v>
      </c>
      <c r="N296" s="28">
        <v>1901.3576399999999</v>
      </c>
      <c r="O296" s="28">
        <v>256.3</v>
      </c>
      <c r="P296" s="28">
        <v>1644.8</v>
      </c>
      <c r="Q296" s="28">
        <v>0.25763999999999998</v>
      </c>
      <c r="R296" s="28">
        <v>160.23030700000001</v>
      </c>
    </row>
    <row r="297" spans="1:18" x14ac:dyDescent="0.25">
      <c r="A297" t="s">
        <v>18</v>
      </c>
      <c r="B297">
        <v>500</v>
      </c>
      <c r="C297">
        <v>105</v>
      </c>
      <c r="D297">
        <v>4</v>
      </c>
      <c r="E297" s="28">
        <v>3.1000000000000001E-5</v>
      </c>
      <c r="F297" s="28">
        <v>92.2</v>
      </c>
      <c r="G297" s="28">
        <v>44.8</v>
      </c>
      <c r="H297" s="28">
        <v>0.48590021691973967</v>
      </c>
      <c r="I297" s="28">
        <v>65.625</v>
      </c>
      <c r="J297" s="28">
        <v>34.375</v>
      </c>
      <c r="K297" s="28">
        <v>81.904799999999994</v>
      </c>
      <c r="L297" s="28">
        <v>81</v>
      </c>
      <c r="M297" s="28">
        <v>100</v>
      </c>
      <c r="N297" s="28">
        <v>1910.2634499999999</v>
      </c>
      <c r="O297" s="28">
        <v>256.3</v>
      </c>
      <c r="P297" s="28">
        <v>1653.7</v>
      </c>
      <c r="Q297" s="28">
        <v>0.26345000000000002</v>
      </c>
      <c r="R297" s="28">
        <v>160.80358000000001</v>
      </c>
    </row>
    <row r="298" spans="1:18" x14ac:dyDescent="0.25">
      <c r="A298" t="s">
        <v>18</v>
      </c>
      <c r="B298">
        <v>500</v>
      </c>
      <c r="C298">
        <v>105</v>
      </c>
      <c r="D298">
        <v>4</v>
      </c>
      <c r="E298" s="28">
        <v>3.0000000000000001E-5</v>
      </c>
      <c r="F298" s="28">
        <v>92.2</v>
      </c>
      <c r="G298" s="28">
        <v>42.4</v>
      </c>
      <c r="H298" s="28">
        <v>0.4598698481561822</v>
      </c>
      <c r="I298" s="28">
        <v>69.811300000000003</v>
      </c>
      <c r="J298" s="28">
        <v>30.188700000000001</v>
      </c>
      <c r="K298" s="28">
        <v>80.952399999999997</v>
      </c>
      <c r="L298" s="28">
        <v>80</v>
      </c>
      <c r="M298" s="28">
        <v>100</v>
      </c>
      <c r="N298" s="28">
        <v>2032.46021</v>
      </c>
      <c r="O298" s="28">
        <v>256.3</v>
      </c>
      <c r="P298" s="28">
        <v>1775.9</v>
      </c>
      <c r="Q298" s="28">
        <v>0.26021</v>
      </c>
      <c r="R298" s="28">
        <v>149.676883</v>
      </c>
    </row>
    <row r="299" spans="1:18" x14ac:dyDescent="0.25">
      <c r="A299" t="s">
        <v>18</v>
      </c>
      <c r="B299">
        <v>500</v>
      </c>
      <c r="C299">
        <v>105</v>
      </c>
      <c r="D299">
        <v>4</v>
      </c>
      <c r="E299" s="28">
        <v>6.2000000000000003E-5</v>
      </c>
      <c r="F299" s="28">
        <v>92.2</v>
      </c>
      <c r="G299" s="28">
        <v>45.8</v>
      </c>
      <c r="H299" s="28">
        <v>0.49674620390455526</v>
      </c>
      <c r="I299" s="28">
        <v>66.375500000000002</v>
      </c>
      <c r="J299" s="28">
        <v>33.624499999999998</v>
      </c>
      <c r="K299" s="28">
        <v>80</v>
      </c>
      <c r="L299" s="28">
        <v>79</v>
      </c>
      <c r="M299" s="28">
        <v>100</v>
      </c>
      <c r="N299" s="28">
        <v>1905.15986</v>
      </c>
      <c r="O299" s="28">
        <v>256.3</v>
      </c>
      <c r="P299" s="28">
        <v>1648.6</v>
      </c>
      <c r="Q299" s="28">
        <v>0.25985999999999998</v>
      </c>
      <c r="R299" s="28">
        <v>154.934406</v>
      </c>
    </row>
    <row r="300" spans="1:18" x14ac:dyDescent="0.25">
      <c r="A300" t="s">
        <v>18</v>
      </c>
      <c r="B300">
        <v>500</v>
      </c>
      <c r="C300">
        <v>105</v>
      </c>
      <c r="D300">
        <v>4</v>
      </c>
      <c r="E300" s="28">
        <v>3.1999999999999999E-5</v>
      </c>
      <c r="F300" s="28">
        <v>92.2</v>
      </c>
      <c r="G300" s="28">
        <v>45.6</v>
      </c>
      <c r="H300" s="28">
        <v>0.49457700650759218</v>
      </c>
      <c r="I300" s="28">
        <v>75</v>
      </c>
      <c r="J300" s="28">
        <v>25</v>
      </c>
      <c r="K300" s="28">
        <v>81.904799999999994</v>
      </c>
      <c r="L300" s="28">
        <v>81</v>
      </c>
      <c r="M300" s="28">
        <v>100</v>
      </c>
      <c r="N300" s="28">
        <v>1914.4626599999999</v>
      </c>
      <c r="O300" s="28">
        <v>256.3</v>
      </c>
      <c r="P300" s="28">
        <v>1657.9</v>
      </c>
      <c r="Q300" s="28">
        <v>0.26266</v>
      </c>
      <c r="R300" s="28">
        <v>146.32574600000001</v>
      </c>
    </row>
    <row r="301" spans="1:18" x14ac:dyDescent="0.25">
      <c r="A301" t="s">
        <v>18</v>
      </c>
      <c r="B301">
        <v>500</v>
      </c>
      <c r="C301">
        <v>105</v>
      </c>
      <c r="D301">
        <v>4</v>
      </c>
      <c r="E301" s="28">
        <v>3.0000000000000001E-5</v>
      </c>
      <c r="F301" s="28">
        <v>92.2</v>
      </c>
      <c r="G301" s="28">
        <v>44</v>
      </c>
      <c r="H301" s="28">
        <v>0.47722342733188716</v>
      </c>
      <c r="I301" s="28">
        <v>65.454499999999996</v>
      </c>
      <c r="J301" s="28">
        <v>34.545499999999997</v>
      </c>
      <c r="K301" s="28">
        <v>80.952399999999997</v>
      </c>
      <c r="L301" s="28">
        <v>80</v>
      </c>
      <c r="M301" s="28">
        <v>100</v>
      </c>
      <c r="N301" s="28">
        <v>1954.26116</v>
      </c>
      <c r="O301" s="28">
        <v>256.3</v>
      </c>
      <c r="P301" s="28">
        <v>1697.7</v>
      </c>
      <c r="Q301" s="28">
        <v>0.26116</v>
      </c>
      <c r="R301" s="28">
        <v>160.928729</v>
      </c>
    </row>
    <row r="302" spans="1:18" x14ac:dyDescent="0.25">
      <c r="A302" t="s">
        <v>18</v>
      </c>
      <c r="B302">
        <v>500</v>
      </c>
      <c r="C302">
        <v>105</v>
      </c>
      <c r="D302">
        <v>4</v>
      </c>
      <c r="E302" s="28">
        <v>3.1000000000000001E-5</v>
      </c>
      <c r="F302" s="28">
        <v>92.2</v>
      </c>
      <c r="G302" s="28">
        <v>46.6</v>
      </c>
      <c r="H302" s="28">
        <v>0.50542299349240782</v>
      </c>
      <c r="I302" s="28">
        <v>66.523600000000002</v>
      </c>
      <c r="J302" s="28">
        <v>33.476399999999998</v>
      </c>
      <c r="K302" s="28">
        <v>79.047600000000003</v>
      </c>
      <c r="L302" s="28">
        <v>78</v>
      </c>
      <c r="M302" s="28">
        <v>100</v>
      </c>
      <c r="N302" s="28">
        <v>1879.3581300000001</v>
      </c>
      <c r="O302" s="28">
        <v>256.3</v>
      </c>
      <c r="P302" s="28">
        <v>1622.8</v>
      </c>
      <c r="Q302" s="28">
        <v>0.25813000000000003</v>
      </c>
      <c r="R302" s="28">
        <v>156.96302</v>
      </c>
    </row>
    <row r="303" spans="1:18" x14ac:dyDescent="0.25">
      <c r="A303" t="s">
        <v>18</v>
      </c>
      <c r="B303">
        <v>500</v>
      </c>
      <c r="C303">
        <v>105</v>
      </c>
      <c r="D303">
        <v>4</v>
      </c>
      <c r="E303" s="28">
        <v>3.1000000000000001E-5</v>
      </c>
      <c r="F303" s="28">
        <v>92.2</v>
      </c>
      <c r="G303" s="28">
        <v>46.2</v>
      </c>
      <c r="H303" s="28">
        <v>0.50108459869848154</v>
      </c>
      <c r="I303" s="28">
        <v>68.398300000000006</v>
      </c>
      <c r="J303" s="28">
        <v>31.601700000000001</v>
      </c>
      <c r="K303" s="28">
        <v>83.8095</v>
      </c>
      <c r="L303" s="28">
        <v>83</v>
      </c>
      <c r="M303" s="28">
        <v>100</v>
      </c>
      <c r="N303" s="28">
        <v>1905.1641500000001</v>
      </c>
      <c r="O303" s="28">
        <v>256.3</v>
      </c>
      <c r="P303" s="28">
        <v>1648.6</v>
      </c>
      <c r="Q303" s="28">
        <v>0.26415</v>
      </c>
      <c r="R303" s="28">
        <v>152.09447399999999</v>
      </c>
    </row>
    <row r="304" spans="1:18" x14ac:dyDescent="0.25">
      <c r="A304" t="s">
        <v>18</v>
      </c>
      <c r="B304">
        <v>500</v>
      </c>
      <c r="C304">
        <v>105</v>
      </c>
      <c r="D304">
        <v>4</v>
      </c>
      <c r="E304" s="28">
        <v>3.1999999999999999E-5</v>
      </c>
      <c r="F304" s="28">
        <v>92.2</v>
      </c>
      <c r="G304" s="28">
        <v>46.6</v>
      </c>
      <c r="H304" s="28">
        <v>0.50542299349240782</v>
      </c>
      <c r="I304" s="28">
        <v>65.665199999999999</v>
      </c>
      <c r="J304" s="28">
        <v>34.334800000000001</v>
      </c>
      <c r="K304" s="28">
        <v>77.142899999999997</v>
      </c>
      <c r="L304" s="28">
        <v>76</v>
      </c>
      <c r="M304" s="28">
        <v>100</v>
      </c>
      <c r="N304" s="28">
        <v>1897.9578200000001</v>
      </c>
      <c r="O304" s="28">
        <v>256.3</v>
      </c>
      <c r="P304" s="28">
        <v>1641.4</v>
      </c>
      <c r="Q304" s="28">
        <v>0.25781999999999999</v>
      </c>
      <c r="R304" s="28">
        <v>154.51043300000001</v>
      </c>
    </row>
    <row r="305" spans="1:18" x14ac:dyDescent="0.25">
      <c r="A305" t="s">
        <v>18</v>
      </c>
      <c r="B305">
        <v>500</v>
      </c>
      <c r="C305">
        <v>105</v>
      </c>
      <c r="D305">
        <v>4</v>
      </c>
      <c r="E305" s="28">
        <v>3.1999999999999999E-5</v>
      </c>
      <c r="F305" s="28">
        <v>92.2</v>
      </c>
      <c r="G305" s="28">
        <v>46.4</v>
      </c>
      <c r="H305" s="28">
        <v>0.50325379609544463</v>
      </c>
      <c r="I305" s="28">
        <v>67.672399999999996</v>
      </c>
      <c r="J305" s="28">
        <v>32.327599999999997</v>
      </c>
      <c r="K305" s="28">
        <v>78.095200000000006</v>
      </c>
      <c r="L305" s="28">
        <v>77</v>
      </c>
      <c r="M305" s="28">
        <v>100</v>
      </c>
      <c r="N305" s="28">
        <v>1907.4597699999999</v>
      </c>
      <c r="O305" s="28">
        <v>256.3</v>
      </c>
      <c r="P305" s="28">
        <v>1650.9</v>
      </c>
      <c r="Q305" s="28">
        <v>0.25977</v>
      </c>
      <c r="R305" s="28">
        <v>153.49934200000001</v>
      </c>
    </row>
    <row r="306" spans="1:18" x14ac:dyDescent="0.25">
      <c r="A306" t="s">
        <v>18</v>
      </c>
      <c r="B306">
        <v>500</v>
      </c>
      <c r="C306">
        <v>105</v>
      </c>
      <c r="D306">
        <v>4</v>
      </c>
      <c r="E306" s="28">
        <v>3.1000000000000001E-5</v>
      </c>
      <c r="F306" s="28">
        <v>92.2</v>
      </c>
      <c r="G306" s="28">
        <v>46</v>
      </c>
      <c r="H306" s="28">
        <v>0.4989154013015184</v>
      </c>
      <c r="I306" s="28">
        <v>66.087000000000003</v>
      </c>
      <c r="J306" s="28">
        <v>33.912999999999997</v>
      </c>
      <c r="K306" s="28">
        <v>78.095200000000006</v>
      </c>
      <c r="L306" s="28">
        <v>77</v>
      </c>
      <c r="M306" s="28">
        <v>100</v>
      </c>
      <c r="N306" s="28">
        <v>1896.05862</v>
      </c>
      <c r="O306" s="28">
        <v>256.3</v>
      </c>
      <c r="P306" s="28">
        <v>1639.5</v>
      </c>
      <c r="Q306" s="28">
        <v>0.25862000000000002</v>
      </c>
      <c r="R306" s="28">
        <v>159.050062</v>
      </c>
    </row>
    <row r="307" spans="1:18" x14ac:dyDescent="0.25">
      <c r="A307" t="s">
        <v>18</v>
      </c>
      <c r="B307">
        <v>500</v>
      </c>
      <c r="C307">
        <v>105</v>
      </c>
      <c r="D307">
        <v>4</v>
      </c>
      <c r="E307" s="28">
        <v>3.1000000000000001E-5</v>
      </c>
      <c r="F307" s="28">
        <v>92.2</v>
      </c>
      <c r="G307" s="28">
        <v>46.8</v>
      </c>
      <c r="H307" s="28">
        <v>0.50759219088937091</v>
      </c>
      <c r="I307" s="28">
        <v>67.093999999999994</v>
      </c>
      <c r="J307" s="28">
        <v>32.905999999999999</v>
      </c>
      <c r="K307" s="28">
        <v>81.904799999999994</v>
      </c>
      <c r="L307" s="28">
        <v>81</v>
      </c>
      <c r="M307" s="28">
        <v>100</v>
      </c>
      <c r="N307" s="28">
        <v>1887.66185</v>
      </c>
      <c r="O307" s="28">
        <v>256.3</v>
      </c>
      <c r="P307" s="28">
        <v>1631.1</v>
      </c>
      <c r="Q307" s="28">
        <v>0.26185000000000003</v>
      </c>
      <c r="R307" s="28">
        <v>154.812106</v>
      </c>
    </row>
    <row r="308" spans="1:18" x14ac:dyDescent="0.25">
      <c r="A308" t="s">
        <v>18</v>
      </c>
      <c r="B308">
        <v>500</v>
      </c>
      <c r="C308">
        <v>105</v>
      </c>
      <c r="D308">
        <v>4</v>
      </c>
      <c r="E308" s="28">
        <v>3.1000000000000001E-5</v>
      </c>
      <c r="F308" s="28">
        <v>92.2</v>
      </c>
      <c r="G308" s="28">
        <v>47.6</v>
      </c>
      <c r="H308" s="28">
        <v>0.51626898047722347</v>
      </c>
      <c r="I308" s="28">
        <v>68.907600000000002</v>
      </c>
      <c r="J308" s="28">
        <v>31.092400000000001</v>
      </c>
      <c r="K308" s="28">
        <v>81.904799999999994</v>
      </c>
      <c r="L308" s="28">
        <v>81</v>
      </c>
      <c r="M308" s="28">
        <v>100</v>
      </c>
      <c r="N308" s="28">
        <v>1867.0629300000001</v>
      </c>
      <c r="O308" s="28">
        <v>256.3</v>
      </c>
      <c r="P308" s="28">
        <v>1610.5</v>
      </c>
      <c r="Q308" s="28">
        <v>0.26293</v>
      </c>
      <c r="R308" s="28">
        <v>153.22994399999999</v>
      </c>
    </row>
    <row r="309" spans="1:18" x14ac:dyDescent="0.25">
      <c r="A309" t="s">
        <v>18</v>
      </c>
      <c r="B309">
        <v>500</v>
      </c>
      <c r="C309">
        <v>105</v>
      </c>
      <c r="D309">
        <v>4</v>
      </c>
      <c r="E309" s="28">
        <v>3.0000000000000001E-5</v>
      </c>
      <c r="F309" s="28">
        <v>92.2</v>
      </c>
      <c r="G309" s="28">
        <v>45</v>
      </c>
      <c r="H309" s="28">
        <v>0.48806941431670281</v>
      </c>
      <c r="I309" s="28">
        <v>68.888900000000007</v>
      </c>
      <c r="J309" s="28">
        <v>31.1111</v>
      </c>
      <c r="K309" s="28">
        <v>82.857100000000003</v>
      </c>
      <c r="L309" s="28">
        <v>82</v>
      </c>
      <c r="M309" s="28">
        <v>100</v>
      </c>
      <c r="N309" s="28">
        <v>1910.16407</v>
      </c>
      <c r="O309" s="28">
        <v>256.3</v>
      </c>
      <c r="P309" s="28">
        <v>1653.6</v>
      </c>
      <c r="Q309" s="28">
        <v>0.26407000000000003</v>
      </c>
      <c r="R309" s="28">
        <v>155.212335</v>
      </c>
    </row>
    <row r="310" spans="1:18" x14ac:dyDescent="0.25">
      <c r="A310" t="s">
        <v>18</v>
      </c>
      <c r="B310">
        <v>500</v>
      </c>
      <c r="C310">
        <v>105</v>
      </c>
      <c r="D310">
        <v>4</v>
      </c>
      <c r="E310" s="28">
        <v>2.9E-5</v>
      </c>
      <c r="F310" s="28">
        <v>92.2</v>
      </c>
      <c r="G310" s="28">
        <v>42.8</v>
      </c>
      <c r="H310" s="28">
        <v>0.46420824295010843</v>
      </c>
      <c r="I310" s="28">
        <v>70.093500000000006</v>
      </c>
      <c r="J310" s="28">
        <v>29.906500000000001</v>
      </c>
      <c r="K310" s="28">
        <v>80.952399999999997</v>
      </c>
      <c r="L310" s="28">
        <v>80</v>
      </c>
      <c r="M310" s="28">
        <v>100</v>
      </c>
      <c r="N310" s="28">
        <v>2030.0622000000001</v>
      </c>
      <c r="O310" s="28">
        <v>256.3</v>
      </c>
      <c r="P310" s="28">
        <v>1773.5</v>
      </c>
      <c r="Q310" s="28">
        <v>0.26219999999999999</v>
      </c>
      <c r="R310" s="28">
        <v>150.55244500000001</v>
      </c>
    </row>
    <row r="311" spans="1:18" x14ac:dyDescent="0.25">
      <c r="A311" t="s">
        <v>18</v>
      </c>
      <c r="B311">
        <v>500</v>
      </c>
      <c r="C311">
        <v>105</v>
      </c>
      <c r="D311">
        <v>4</v>
      </c>
      <c r="E311" s="28">
        <v>3.0000000000000001E-5</v>
      </c>
      <c r="F311" s="28">
        <v>92.2</v>
      </c>
      <c r="G311" s="28">
        <v>44.8</v>
      </c>
      <c r="H311" s="28">
        <v>0.48590021691973967</v>
      </c>
      <c r="I311" s="28">
        <v>68.303600000000003</v>
      </c>
      <c r="J311" s="28">
        <v>31.696400000000001</v>
      </c>
      <c r="K311" s="28">
        <v>81.904799999999994</v>
      </c>
      <c r="L311" s="28">
        <v>81</v>
      </c>
      <c r="M311" s="28">
        <v>100</v>
      </c>
      <c r="N311" s="28">
        <v>1925.86301</v>
      </c>
      <c r="O311" s="28">
        <v>256.3</v>
      </c>
      <c r="P311" s="28">
        <v>1669.3</v>
      </c>
      <c r="Q311" s="28">
        <v>0.26301000000000002</v>
      </c>
      <c r="R311" s="28">
        <v>154.23887199999999</v>
      </c>
    </row>
    <row r="312" spans="1:18" x14ac:dyDescent="0.25">
      <c r="A312" t="s">
        <v>18</v>
      </c>
      <c r="B312">
        <v>500</v>
      </c>
      <c r="C312">
        <v>105</v>
      </c>
      <c r="D312">
        <v>4</v>
      </c>
      <c r="E312" s="28">
        <v>3.0000000000000001E-5</v>
      </c>
      <c r="F312" s="28">
        <v>92.2</v>
      </c>
      <c r="G312" s="28">
        <v>43.8</v>
      </c>
      <c r="H312" s="28">
        <v>0.47505422993492402</v>
      </c>
      <c r="I312" s="28">
        <v>68.493200000000002</v>
      </c>
      <c r="J312" s="28">
        <v>31.506799999999998</v>
      </c>
      <c r="K312" s="28">
        <v>79.047600000000003</v>
      </c>
      <c r="L312" s="28">
        <v>78</v>
      </c>
      <c r="M312" s="28">
        <v>100</v>
      </c>
      <c r="N312" s="28">
        <v>1987.1586199999999</v>
      </c>
      <c r="O312" s="28">
        <v>256.3</v>
      </c>
      <c r="P312" s="28">
        <v>1730.6</v>
      </c>
      <c r="Q312" s="28">
        <v>0.25862000000000002</v>
      </c>
      <c r="R312" s="28">
        <v>151.91002</v>
      </c>
    </row>
    <row r="313" spans="1:18" x14ac:dyDescent="0.25">
      <c r="A313" t="s">
        <v>18</v>
      </c>
      <c r="B313">
        <v>500</v>
      </c>
      <c r="C313">
        <v>105</v>
      </c>
      <c r="D313">
        <v>4</v>
      </c>
      <c r="E313" s="28">
        <v>3.1000000000000001E-5</v>
      </c>
      <c r="F313" s="28">
        <v>92.2</v>
      </c>
      <c r="G313" s="28">
        <v>45.4</v>
      </c>
      <c r="H313" s="28">
        <v>0.49240780911062904</v>
      </c>
      <c r="I313" s="28">
        <v>63.8767</v>
      </c>
      <c r="J313" s="28">
        <v>36.1233</v>
      </c>
      <c r="K313" s="28">
        <v>81.904799999999994</v>
      </c>
      <c r="L313" s="28">
        <v>81</v>
      </c>
      <c r="M313" s="28">
        <v>100</v>
      </c>
      <c r="N313" s="28">
        <v>1925.7619999999999</v>
      </c>
      <c r="O313" s="28">
        <v>256.3</v>
      </c>
      <c r="P313" s="28">
        <v>1669.2</v>
      </c>
      <c r="Q313" s="28">
        <v>0.26200000000000001</v>
      </c>
      <c r="R313" s="28">
        <v>159.17346499999999</v>
      </c>
    </row>
    <row r="314" spans="1:18" x14ac:dyDescent="0.25">
      <c r="A314" t="s">
        <v>18</v>
      </c>
      <c r="B314">
        <v>500</v>
      </c>
      <c r="C314">
        <v>105</v>
      </c>
      <c r="D314">
        <v>4</v>
      </c>
      <c r="E314" s="28">
        <v>3.3000000000000003E-5</v>
      </c>
      <c r="F314" s="28">
        <v>92.2</v>
      </c>
      <c r="G314" s="28">
        <v>46.6</v>
      </c>
      <c r="H314" s="28">
        <v>0.50542299349240782</v>
      </c>
      <c r="I314" s="28">
        <v>64.806899999999999</v>
      </c>
      <c r="J314" s="28">
        <v>35.193100000000001</v>
      </c>
      <c r="K314" s="28">
        <v>79.047600000000003</v>
      </c>
      <c r="L314" s="28">
        <v>78</v>
      </c>
      <c r="M314" s="28">
        <v>100</v>
      </c>
      <c r="N314" s="28">
        <v>1908.35886</v>
      </c>
      <c r="O314" s="28">
        <v>256.3</v>
      </c>
      <c r="P314" s="28">
        <v>1651.8</v>
      </c>
      <c r="Q314" s="28">
        <v>0.25885999999999998</v>
      </c>
      <c r="R314" s="28">
        <v>156.99666400000001</v>
      </c>
    </row>
    <row r="315" spans="1:18" x14ac:dyDescent="0.25">
      <c r="A315" t="s">
        <v>18</v>
      </c>
      <c r="B315">
        <v>500</v>
      </c>
      <c r="C315">
        <v>105</v>
      </c>
      <c r="D315">
        <v>4</v>
      </c>
      <c r="E315" s="28">
        <v>3.1000000000000001E-5</v>
      </c>
      <c r="F315" s="28">
        <v>92.2</v>
      </c>
      <c r="G315" s="28">
        <v>45.2</v>
      </c>
      <c r="H315" s="28">
        <v>0.49023861171366595</v>
      </c>
      <c r="I315" s="28">
        <v>67.699100000000001</v>
      </c>
      <c r="J315" s="28">
        <v>32.300899999999999</v>
      </c>
      <c r="K315" s="28">
        <v>76.1905</v>
      </c>
      <c r="L315" s="28">
        <v>75</v>
      </c>
      <c r="M315" s="28">
        <v>100</v>
      </c>
      <c r="N315" s="28">
        <v>1911.85581</v>
      </c>
      <c r="O315" s="28">
        <v>256.3</v>
      </c>
      <c r="P315" s="28">
        <v>1655.3</v>
      </c>
      <c r="Q315" s="28">
        <v>0.25580999999999998</v>
      </c>
      <c r="R315" s="28">
        <v>155.725313</v>
      </c>
    </row>
    <row r="316" spans="1:18" x14ac:dyDescent="0.25">
      <c r="A316" t="s">
        <v>18</v>
      </c>
      <c r="B316">
        <v>500</v>
      </c>
      <c r="C316">
        <v>105</v>
      </c>
      <c r="D316">
        <v>4</v>
      </c>
      <c r="E316" s="28">
        <v>3.1000000000000001E-5</v>
      </c>
      <c r="F316" s="28">
        <v>92.2</v>
      </c>
      <c r="G316" s="28">
        <v>46</v>
      </c>
      <c r="H316" s="28">
        <v>0.4989154013015184</v>
      </c>
      <c r="I316" s="28">
        <v>64.347800000000007</v>
      </c>
      <c r="J316" s="28">
        <v>35.652200000000001</v>
      </c>
      <c r="K316" s="28">
        <v>80</v>
      </c>
      <c r="L316" s="28">
        <v>79</v>
      </c>
      <c r="M316" s="28">
        <v>100</v>
      </c>
      <c r="N316" s="28">
        <v>1901.8596299999999</v>
      </c>
      <c r="O316" s="28">
        <v>256.3</v>
      </c>
      <c r="P316" s="28">
        <v>1645.3</v>
      </c>
      <c r="Q316" s="28">
        <v>0.25963000000000003</v>
      </c>
      <c r="R316" s="28">
        <v>160.22087500000001</v>
      </c>
    </row>
    <row r="317" spans="1:18" x14ac:dyDescent="0.25">
      <c r="A317" t="s">
        <v>18</v>
      </c>
      <c r="B317">
        <v>500</v>
      </c>
      <c r="C317">
        <v>105</v>
      </c>
      <c r="D317">
        <v>4</v>
      </c>
      <c r="E317" s="28">
        <v>2.9E-5</v>
      </c>
      <c r="F317" s="28">
        <v>92.2</v>
      </c>
      <c r="G317" s="28">
        <v>44</v>
      </c>
      <c r="H317" s="28">
        <v>0.47722342733188716</v>
      </c>
      <c r="I317" s="28">
        <v>69.090900000000005</v>
      </c>
      <c r="J317" s="28">
        <v>30.909099999999999</v>
      </c>
      <c r="K317" s="28">
        <v>80</v>
      </c>
      <c r="L317" s="28">
        <v>79</v>
      </c>
      <c r="M317" s="28">
        <v>100</v>
      </c>
      <c r="N317" s="28">
        <v>1968.65969</v>
      </c>
      <c r="O317" s="28">
        <v>256.3</v>
      </c>
      <c r="P317" s="28">
        <v>1712.1</v>
      </c>
      <c r="Q317" s="28">
        <v>0.25968999999999998</v>
      </c>
      <c r="R317" s="28">
        <v>153.024213</v>
      </c>
    </row>
    <row r="318" spans="1:18" x14ac:dyDescent="0.25">
      <c r="A318" t="s">
        <v>18</v>
      </c>
      <c r="B318">
        <v>500</v>
      </c>
      <c r="C318">
        <v>105</v>
      </c>
      <c r="D318">
        <v>4</v>
      </c>
      <c r="E318" s="28">
        <v>3.0000000000000001E-5</v>
      </c>
      <c r="F318" s="28">
        <v>92.2</v>
      </c>
      <c r="G318" s="28">
        <v>44.4</v>
      </c>
      <c r="H318" s="28">
        <v>0.48156182212581344</v>
      </c>
      <c r="I318" s="28">
        <v>65.315299999999993</v>
      </c>
      <c r="J318" s="28">
        <v>34.684699999999999</v>
      </c>
      <c r="K318" s="28">
        <v>77.142899999999997</v>
      </c>
      <c r="L318" s="28">
        <v>76</v>
      </c>
      <c r="M318" s="28">
        <v>100</v>
      </c>
      <c r="N318" s="28">
        <v>1945.4570900000001</v>
      </c>
      <c r="O318" s="28">
        <v>256.3</v>
      </c>
      <c r="P318" s="28">
        <v>1688.9</v>
      </c>
      <c r="Q318" s="28">
        <v>0.25708999999999999</v>
      </c>
      <c r="R318" s="28">
        <v>158.675704</v>
      </c>
    </row>
    <row r="319" spans="1:18" x14ac:dyDescent="0.25">
      <c r="A319" t="s">
        <v>18</v>
      </c>
      <c r="B319">
        <v>500</v>
      </c>
      <c r="C319">
        <v>105</v>
      </c>
      <c r="D319">
        <v>4</v>
      </c>
      <c r="E319" s="28">
        <v>3.1000000000000001E-5</v>
      </c>
      <c r="F319" s="28">
        <v>92.2</v>
      </c>
      <c r="G319" s="28">
        <v>45.8</v>
      </c>
      <c r="H319" s="28">
        <v>0.49674620390455526</v>
      </c>
      <c r="I319" s="28">
        <v>68.558999999999997</v>
      </c>
      <c r="J319" s="28">
        <v>31.440999999999999</v>
      </c>
      <c r="K319" s="28">
        <v>83.8095</v>
      </c>
      <c r="L319" s="28">
        <v>83</v>
      </c>
      <c r="M319" s="28">
        <v>100</v>
      </c>
      <c r="N319" s="28">
        <v>1920.5646200000001</v>
      </c>
      <c r="O319" s="28">
        <v>256.3</v>
      </c>
      <c r="P319" s="28">
        <v>1664</v>
      </c>
      <c r="Q319" s="28">
        <v>0.26462000000000002</v>
      </c>
      <c r="R319" s="28">
        <v>151.720619</v>
      </c>
    </row>
    <row r="320" spans="1:18" x14ac:dyDescent="0.25">
      <c r="A320" t="s">
        <v>18</v>
      </c>
      <c r="B320">
        <v>500</v>
      </c>
      <c r="C320">
        <v>105</v>
      </c>
      <c r="D320">
        <v>4</v>
      </c>
      <c r="E320" s="28">
        <v>3.1000000000000001E-5</v>
      </c>
      <c r="F320" s="28">
        <v>92.2</v>
      </c>
      <c r="G320" s="28">
        <v>46.8</v>
      </c>
      <c r="H320" s="28">
        <v>0.50759219088937091</v>
      </c>
      <c r="I320" s="28">
        <v>68.803399999999996</v>
      </c>
      <c r="J320" s="28">
        <v>31.1966</v>
      </c>
      <c r="K320" s="28">
        <v>83.8095</v>
      </c>
      <c r="L320" s="28">
        <v>83</v>
      </c>
      <c r="M320" s="28">
        <v>100</v>
      </c>
      <c r="N320" s="28">
        <v>1880.6656700000001</v>
      </c>
      <c r="O320" s="28">
        <v>256.3</v>
      </c>
      <c r="P320" s="28">
        <v>1624.1</v>
      </c>
      <c r="Q320" s="28">
        <v>0.26567000000000002</v>
      </c>
      <c r="R320" s="28">
        <v>152.85907599999999</v>
      </c>
    </row>
    <row r="321" spans="1:18" x14ac:dyDescent="0.25">
      <c r="A321" t="s">
        <v>18</v>
      </c>
      <c r="B321">
        <v>500</v>
      </c>
      <c r="C321">
        <v>105</v>
      </c>
      <c r="D321">
        <v>4</v>
      </c>
      <c r="E321" s="28">
        <v>2.9E-5</v>
      </c>
      <c r="F321" s="28">
        <v>92.2</v>
      </c>
      <c r="G321" s="28">
        <v>42.4</v>
      </c>
      <c r="H321" s="28">
        <v>0.4598698481561822</v>
      </c>
      <c r="I321" s="28">
        <v>70.283000000000001</v>
      </c>
      <c r="J321" s="28">
        <v>29.716999999999999</v>
      </c>
      <c r="K321" s="28">
        <v>76.1905</v>
      </c>
      <c r="L321" s="28">
        <v>75</v>
      </c>
      <c r="M321" s="28">
        <v>100</v>
      </c>
      <c r="N321" s="28">
        <v>2010.85483</v>
      </c>
      <c r="O321" s="28">
        <v>256.3</v>
      </c>
      <c r="P321" s="28">
        <v>1754.3</v>
      </c>
      <c r="Q321" s="28">
        <v>0.25483</v>
      </c>
      <c r="R321" s="28">
        <v>153.10442</v>
      </c>
    </row>
    <row r="322" spans="1:18" x14ac:dyDescent="0.25">
      <c r="A322" t="s">
        <v>18</v>
      </c>
      <c r="B322">
        <v>500</v>
      </c>
      <c r="C322">
        <v>105</v>
      </c>
      <c r="D322">
        <v>4</v>
      </c>
      <c r="E322" s="28">
        <v>3.1999999999999999E-5</v>
      </c>
      <c r="F322" s="28">
        <v>92.2</v>
      </c>
      <c r="G322" s="28">
        <v>47.8</v>
      </c>
      <c r="H322" s="28">
        <v>0.51843817787418656</v>
      </c>
      <c r="I322" s="28">
        <v>65.690399999999997</v>
      </c>
      <c r="J322" s="28">
        <v>34.309600000000003</v>
      </c>
      <c r="K322" s="28">
        <v>81.904799999999994</v>
      </c>
      <c r="L322" s="28">
        <v>81</v>
      </c>
      <c r="M322" s="28">
        <v>100</v>
      </c>
      <c r="N322" s="28">
        <v>1843.16293</v>
      </c>
      <c r="O322" s="28">
        <v>256.3</v>
      </c>
      <c r="P322" s="28">
        <v>1586.6</v>
      </c>
      <c r="Q322" s="28">
        <v>0.26293</v>
      </c>
      <c r="R322" s="28">
        <v>157.086859</v>
      </c>
    </row>
    <row r="323" spans="1:18" x14ac:dyDescent="0.25">
      <c r="A323" t="s">
        <v>18</v>
      </c>
      <c r="B323">
        <v>500</v>
      </c>
      <c r="C323">
        <v>105</v>
      </c>
      <c r="D323">
        <v>4</v>
      </c>
      <c r="E323" s="28">
        <v>3.1000000000000001E-5</v>
      </c>
      <c r="F323" s="28">
        <v>92.2</v>
      </c>
      <c r="G323" s="28">
        <v>45.4</v>
      </c>
      <c r="H323" s="28">
        <v>0.49240780911062904</v>
      </c>
      <c r="I323" s="28">
        <v>66.960400000000007</v>
      </c>
      <c r="J323" s="28">
        <v>33.0396</v>
      </c>
      <c r="K323" s="28">
        <v>78.095200000000006</v>
      </c>
      <c r="L323" s="28">
        <v>77</v>
      </c>
      <c r="M323" s="28">
        <v>100</v>
      </c>
      <c r="N323" s="28">
        <v>1919.75855</v>
      </c>
      <c r="O323" s="28">
        <v>256.3</v>
      </c>
      <c r="P323" s="28">
        <v>1663.2</v>
      </c>
      <c r="Q323" s="28">
        <v>0.25855</v>
      </c>
      <c r="R323" s="28">
        <v>155.83247</v>
      </c>
    </row>
    <row r="324" spans="1:18" x14ac:dyDescent="0.25">
      <c r="A324" t="s">
        <v>18</v>
      </c>
      <c r="B324">
        <v>500</v>
      </c>
      <c r="C324">
        <v>105</v>
      </c>
      <c r="D324">
        <v>4</v>
      </c>
      <c r="E324" s="28">
        <v>3.1999999999999999E-5</v>
      </c>
      <c r="F324" s="28">
        <v>92.2</v>
      </c>
      <c r="G324" s="28">
        <v>46.2</v>
      </c>
      <c r="H324" s="28">
        <v>0.50108459869848154</v>
      </c>
      <c r="I324" s="28">
        <v>64.069299999999998</v>
      </c>
      <c r="J324" s="28">
        <v>35.930700000000002</v>
      </c>
      <c r="K324" s="28">
        <v>76.1905</v>
      </c>
      <c r="L324" s="28">
        <v>75</v>
      </c>
      <c r="M324" s="28">
        <v>100</v>
      </c>
      <c r="N324" s="28">
        <v>1908.3572999999999</v>
      </c>
      <c r="O324" s="28">
        <v>256.3</v>
      </c>
      <c r="P324" s="28">
        <v>1651.8</v>
      </c>
      <c r="Q324" s="28">
        <v>0.25729999999999997</v>
      </c>
      <c r="R324" s="28">
        <v>158.726485</v>
      </c>
    </row>
    <row r="325" spans="1:18" x14ac:dyDescent="0.25">
      <c r="A325" t="s">
        <v>18</v>
      </c>
      <c r="B325">
        <v>500</v>
      </c>
      <c r="C325">
        <v>105</v>
      </c>
      <c r="D325">
        <v>4</v>
      </c>
      <c r="E325" s="28">
        <v>3.1999999999999999E-5</v>
      </c>
      <c r="F325" s="28">
        <v>92.2</v>
      </c>
      <c r="G325" s="28">
        <v>46.6</v>
      </c>
      <c r="H325" s="28">
        <v>0.50542299349240782</v>
      </c>
      <c r="I325" s="28">
        <v>66.952799999999996</v>
      </c>
      <c r="J325" s="28">
        <v>33.047199999999997</v>
      </c>
      <c r="K325" s="28">
        <v>80</v>
      </c>
      <c r="L325" s="28">
        <v>79</v>
      </c>
      <c r="M325" s="28">
        <v>100</v>
      </c>
      <c r="N325" s="28">
        <v>1868.1611399999999</v>
      </c>
      <c r="O325" s="28">
        <v>256.3</v>
      </c>
      <c r="P325" s="28">
        <v>1611.6</v>
      </c>
      <c r="Q325" s="28">
        <v>0.26113999999999998</v>
      </c>
      <c r="R325" s="28">
        <v>157.167316</v>
      </c>
    </row>
    <row r="326" spans="1:18" x14ac:dyDescent="0.25">
      <c r="A326" t="s">
        <v>18</v>
      </c>
      <c r="B326">
        <v>500</v>
      </c>
      <c r="C326">
        <v>105</v>
      </c>
      <c r="D326">
        <v>4</v>
      </c>
      <c r="E326" s="28">
        <v>3.1000000000000001E-5</v>
      </c>
      <c r="F326" s="28">
        <v>92.2</v>
      </c>
      <c r="G326" s="28">
        <v>44.6</v>
      </c>
      <c r="H326" s="28">
        <v>0.48373101952277658</v>
      </c>
      <c r="I326" s="28">
        <v>68.1614</v>
      </c>
      <c r="J326" s="28">
        <v>31.8386</v>
      </c>
      <c r="K326" s="28">
        <v>83.8095</v>
      </c>
      <c r="L326" s="28">
        <v>83</v>
      </c>
      <c r="M326" s="28">
        <v>100</v>
      </c>
      <c r="N326" s="28">
        <v>1952.56575</v>
      </c>
      <c r="O326" s="28">
        <v>256.3</v>
      </c>
      <c r="P326" s="28">
        <v>1696</v>
      </c>
      <c r="Q326" s="28">
        <v>0.26574999999999999</v>
      </c>
      <c r="R326" s="28">
        <v>155.355739</v>
      </c>
    </row>
    <row r="327" spans="1:18" x14ac:dyDescent="0.25">
      <c r="A327" t="s">
        <v>18</v>
      </c>
      <c r="B327">
        <v>500</v>
      </c>
      <c r="C327">
        <v>105</v>
      </c>
      <c r="D327">
        <v>4</v>
      </c>
      <c r="E327" s="28">
        <v>3.0000000000000001E-5</v>
      </c>
      <c r="F327" s="28">
        <v>92.2</v>
      </c>
      <c r="G327" s="28">
        <v>45.2</v>
      </c>
      <c r="H327" s="28">
        <v>0.49023861171366595</v>
      </c>
      <c r="I327" s="28">
        <v>66.371700000000004</v>
      </c>
      <c r="J327" s="28">
        <v>33.628300000000003</v>
      </c>
      <c r="K327" s="28">
        <v>79.047600000000003</v>
      </c>
      <c r="L327" s="28">
        <v>78</v>
      </c>
      <c r="M327" s="28">
        <v>100</v>
      </c>
      <c r="N327" s="28">
        <v>1927.2595200000001</v>
      </c>
      <c r="O327" s="28">
        <v>256.3</v>
      </c>
      <c r="P327" s="28">
        <v>1670.7</v>
      </c>
      <c r="Q327" s="28">
        <v>0.25951999999999997</v>
      </c>
      <c r="R327" s="28">
        <v>157.47016300000001</v>
      </c>
    </row>
    <row r="328" spans="1:18" x14ac:dyDescent="0.25">
      <c r="A328" t="s">
        <v>18</v>
      </c>
      <c r="B328">
        <v>500</v>
      </c>
      <c r="C328">
        <v>105</v>
      </c>
      <c r="D328">
        <v>4</v>
      </c>
      <c r="E328" s="28">
        <v>4.1E-5</v>
      </c>
      <c r="F328" s="28">
        <v>92.2</v>
      </c>
      <c r="G328" s="28">
        <v>45.8</v>
      </c>
      <c r="H328" s="28">
        <v>0.49674620390455526</v>
      </c>
      <c r="I328" s="28">
        <v>70.742400000000004</v>
      </c>
      <c r="J328" s="28">
        <v>29.2576</v>
      </c>
      <c r="K328" s="28">
        <v>81.904799999999994</v>
      </c>
      <c r="L328" s="28">
        <v>81</v>
      </c>
      <c r="M328" s="28">
        <v>100</v>
      </c>
      <c r="N328" s="28">
        <v>1873.9634000000001</v>
      </c>
      <c r="O328" s="28">
        <v>256.3</v>
      </c>
      <c r="P328" s="28">
        <v>1617.4</v>
      </c>
      <c r="Q328" s="28">
        <v>0.26340000000000002</v>
      </c>
      <c r="R328" s="28">
        <v>153.542945</v>
      </c>
    </row>
    <row r="329" spans="1:18" x14ac:dyDescent="0.25">
      <c r="A329" t="s">
        <v>18</v>
      </c>
      <c r="B329">
        <v>500</v>
      </c>
      <c r="C329">
        <v>105</v>
      </c>
      <c r="D329">
        <v>4</v>
      </c>
      <c r="E329" s="28">
        <v>3.1000000000000001E-5</v>
      </c>
      <c r="F329" s="28">
        <v>92.2</v>
      </c>
      <c r="G329" s="28">
        <v>45.2</v>
      </c>
      <c r="H329" s="28">
        <v>0.49023861171366595</v>
      </c>
      <c r="I329" s="28">
        <v>69.468999999999994</v>
      </c>
      <c r="J329" s="28">
        <v>30.530999999999999</v>
      </c>
      <c r="K329" s="28">
        <v>83.8095</v>
      </c>
      <c r="L329" s="28">
        <v>83</v>
      </c>
      <c r="M329" s="28">
        <v>100</v>
      </c>
      <c r="N329" s="28">
        <v>1925.6653100000001</v>
      </c>
      <c r="O329" s="28">
        <v>256.3</v>
      </c>
      <c r="P329" s="28">
        <v>1669.1</v>
      </c>
      <c r="Q329" s="28">
        <v>0.26530999999999999</v>
      </c>
      <c r="R329" s="28">
        <v>152.679056</v>
      </c>
    </row>
    <row r="330" spans="1:18" x14ac:dyDescent="0.25">
      <c r="A330" t="s">
        <v>18</v>
      </c>
      <c r="B330">
        <v>500</v>
      </c>
      <c r="C330">
        <v>105</v>
      </c>
      <c r="D330">
        <v>4</v>
      </c>
      <c r="E330" s="28">
        <v>3.0000000000000001E-5</v>
      </c>
      <c r="F330" s="28">
        <v>92.2</v>
      </c>
      <c r="G330" s="28">
        <v>44.2</v>
      </c>
      <c r="H330" s="28">
        <v>0.47939262472885036</v>
      </c>
      <c r="I330" s="28">
        <v>70.1357</v>
      </c>
      <c r="J330" s="28">
        <v>29.8643</v>
      </c>
      <c r="K330" s="28">
        <v>80</v>
      </c>
      <c r="L330" s="28">
        <v>79</v>
      </c>
      <c r="M330" s="28">
        <v>100</v>
      </c>
      <c r="N330" s="28">
        <v>1958.1604199999999</v>
      </c>
      <c r="O330" s="28">
        <v>256.3</v>
      </c>
      <c r="P330" s="28">
        <v>1701.6</v>
      </c>
      <c r="Q330" s="28">
        <v>0.26041999999999998</v>
      </c>
      <c r="R330" s="28">
        <v>153.14018100000001</v>
      </c>
    </row>
    <row r="331" spans="1:18" x14ac:dyDescent="0.25">
      <c r="A331" t="s">
        <v>18</v>
      </c>
      <c r="B331">
        <v>500</v>
      </c>
      <c r="C331">
        <v>105</v>
      </c>
      <c r="D331">
        <v>4</v>
      </c>
      <c r="E331" s="28">
        <v>3.1000000000000001E-5</v>
      </c>
      <c r="F331" s="28">
        <v>92.2</v>
      </c>
      <c r="G331" s="28">
        <v>45.8</v>
      </c>
      <c r="H331" s="28">
        <v>0.49674620390455526</v>
      </c>
      <c r="I331" s="28">
        <v>66.375500000000002</v>
      </c>
      <c r="J331" s="28">
        <v>33.624499999999998</v>
      </c>
      <c r="K331" s="28">
        <v>82.857100000000003</v>
      </c>
      <c r="L331" s="28">
        <v>82</v>
      </c>
      <c r="M331" s="28">
        <v>100</v>
      </c>
      <c r="N331" s="28">
        <v>1903.5633</v>
      </c>
      <c r="O331" s="28">
        <v>256.3</v>
      </c>
      <c r="P331" s="28">
        <v>1647</v>
      </c>
      <c r="Q331" s="28">
        <v>0.26329999999999998</v>
      </c>
      <c r="R331" s="28">
        <v>158.89282900000001</v>
      </c>
    </row>
    <row r="332" spans="1:18" x14ac:dyDescent="0.25">
      <c r="A332" t="s">
        <v>18</v>
      </c>
      <c r="B332">
        <v>500</v>
      </c>
      <c r="C332">
        <v>105</v>
      </c>
      <c r="D332">
        <v>4</v>
      </c>
      <c r="E332" s="28">
        <v>3.1999999999999999E-5</v>
      </c>
      <c r="F332" s="28">
        <v>92.2</v>
      </c>
      <c r="G332" s="28">
        <v>47.8</v>
      </c>
      <c r="H332" s="28">
        <v>0.51843817787418656</v>
      </c>
      <c r="I332" s="28">
        <v>66.108800000000002</v>
      </c>
      <c r="J332" s="28">
        <v>33.891199999999998</v>
      </c>
      <c r="K332" s="28">
        <v>81.904799999999994</v>
      </c>
      <c r="L332" s="28">
        <v>81</v>
      </c>
      <c r="M332" s="28">
        <v>100</v>
      </c>
      <c r="N332" s="28">
        <v>1831.5632000000001</v>
      </c>
      <c r="O332" s="28">
        <v>256.3</v>
      </c>
      <c r="P332" s="28">
        <v>1575</v>
      </c>
      <c r="Q332" s="28">
        <v>0.26319999999999999</v>
      </c>
      <c r="R332" s="28">
        <v>156.655766</v>
      </c>
    </row>
    <row r="333" spans="1:18" x14ac:dyDescent="0.25">
      <c r="A333" t="s">
        <v>18</v>
      </c>
      <c r="B333">
        <v>500</v>
      </c>
      <c r="C333">
        <v>105</v>
      </c>
      <c r="D333">
        <v>4</v>
      </c>
      <c r="E333" s="28">
        <v>3.1000000000000001E-5</v>
      </c>
      <c r="F333" s="28">
        <v>92.2</v>
      </c>
      <c r="G333" s="28">
        <v>46.6</v>
      </c>
      <c r="H333" s="28">
        <v>0.50542299349240782</v>
      </c>
      <c r="I333" s="28">
        <v>68.240300000000005</v>
      </c>
      <c r="J333" s="28">
        <v>31.759699999999999</v>
      </c>
      <c r="K333" s="28">
        <v>86.666700000000006</v>
      </c>
      <c r="L333" s="28">
        <v>86</v>
      </c>
      <c r="M333" s="28">
        <v>100</v>
      </c>
      <c r="N333" s="28">
        <v>1866.5688600000001</v>
      </c>
      <c r="O333" s="28">
        <v>256.3</v>
      </c>
      <c r="P333" s="28">
        <v>1610</v>
      </c>
      <c r="Q333" s="28">
        <v>0.26885999999999999</v>
      </c>
      <c r="R333" s="28">
        <v>156.95903300000001</v>
      </c>
    </row>
    <row r="334" spans="1:18" x14ac:dyDescent="0.25">
      <c r="A334" t="s">
        <v>18</v>
      </c>
      <c r="B334">
        <v>500</v>
      </c>
      <c r="C334">
        <v>105</v>
      </c>
      <c r="D334">
        <v>4</v>
      </c>
      <c r="E334" s="28">
        <v>3.0000000000000001E-5</v>
      </c>
      <c r="F334" s="28">
        <v>92.2</v>
      </c>
      <c r="G334" s="28">
        <v>44.2</v>
      </c>
      <c r="H334" s="28">
        <v>0.47939262472885036</v>
      </c>
      <c r="I334" s="28">
        <v>66.968299999999999</v>
      </c>
      <c r="J334" s="28">
        <v>33.031700000000001</v>
      </c>
      <c r="K334" s="28">
        <v>81.904799999999994</v>
      </c>
      <c r="L334" s="28">
        <v>81</v>
      </c>
      <c r="M334" s="28">
        <v>100</v>
      </c>
      <c r="N334" s="28">
        <v>1956.9618499999999</v>
      </c>
      <c r="O334" s="28">
        <v>256.3</v>
      </c>
      <c r="P334" s="28">
        <v>1700.4</v>
      </c>
      <c r="Q334" s="28">
        <v>0.26185000000000003</v>
      </c>
      <c r="R334" s="28">
        <v>156.79539299999999</v>
      </c>
    </row>
    <row r="335" spans="1:18" x14ac:dyDescent="0.25">
      <c r="A335" t="s">
        <v>18</v>
      </c>
      <c r="B335">
        <v>500</v>
      </c>
      <c r="C335">
        <v>105</v>
      </c>
      <c r="D335">
        <v>4</v>
      </c>
      <c r="E335" s="28">
        <v>3.1000000000000001E-5</v>
      </c>
      <c r="F335" s="28">
        <v>92.2</v>
      </c>
      <c r="G335" s="28">
        <v>46.4</v>
      </c>
      <c r="H335" s="28">
        <v>0.50325379609544463</v>
      </c>
      <c r="I335" s="28">
        <v>66.810299999999998</v>
      </c>
      <c r="J335" s="28">
        <v>33.189700000000002</v>
      </c>
      <c r="K335" s="28">
        <v>81.904799999999994</v>
      </c>
      <c r="L335" s="28">
        <v>81</v>
      </c>
      <c r="M335" s="28">
        <v>100</v>
      </c>
      <c r="N335" s="28">
        <v>1878.66337</v>
      </c>
      <c r="O335" s="28">
        <v>256.3</v>
      </c>
      <c r="P335" s="28">
        <v>1622.1</v>
      </c>
      <c r="Q335" s="28">
        <v>0.26336999999999999</v>
      </c>
      <c r="R335" s="28">
        <v>158.105681</v>
      </c>
    </row>
    <row r="336" spans="1:18" x14ac:dyDescent="0.25">
      <c r="A336" t="s">
        <v>18</v>
      </c>
      <c r="B336">
        <v>500</v>
      </c>
      <c r="C336">
        <v>105</v>
      </c>
      <c r="D336">
        <v>4</v>
      </c>
      <c r="E336" s="28">
        <v>3.1000000000000001E-5</v>
      </c>
      <c r="F336" s="28">
        <v>92.2</v>
      </c>
      <c r="G336" s="28">
        <v>45.2</v>
      </c>
      <c r="H336" s="28">
        <v>0.49023861171366595</v>
      </c>
      <c r="I336" s="28">
        <v>64.601799999999997</v>
      </c>
      <c r="J336" s="28">
        <v>35.398200000000003</v>
      </c>
      <c r="K336" s="28">
        <v>76.1905</v>
      </c>
      <c r="L336" s="28">
        <v>75</v>
      </c>
      <c r="M336" s="28">
        <v>100</v>
      </c>
      <c r="N336" s="28">
        <v>1910.85646</v>
      </c>
      <c r="O336" s="28">
        <v>256.3</v>
      </c>
      <c r="P336" s="28">
        <v>1654.3</v>
      </c>
      <c r="Q336" s="28">
        <v>0.25646000000000002</v>
      </c>
      <c r="R336" s="28">
        <v>160.50996699999999</v>
      </c>
    </row>
    <row r="337" spans="1:18" x14ac:dyDescent="0.25">
      <c r="A337" t="s">
        <v>18</v>
      </c>
      <c r="B337">
        <v>500</v>
      </c>
      <c r="C337">
        <v>105</v>
      </c>
      <c r="D337">
        <v>4</v>
      </c>
      <c r="E337" s="28">
        <v>3.1000000000000001E-5</v>
      </c>
      <c r="F337" s="28">
        <v>92.2</v>
      </c>
      <c r="G337" s="28">
        <v>46.6</v>
      </c>
      <c r="H337" s="28">
        <v>0.50542299349240782</v>
      </c>
      <c r="I337" s="28">
        <v>66.952799999999996</v>
      </c>
      <c r="J337" s="28">
        <v>33.047199999999997</v>
      </c>
      <c r="K337" s="28">
        <v>80</v>
      </c>
      <c r="L337" s="28">
        <v>79</v>
      </c>
      <c r="M337" s="28">
        <v>100</v>
      </c>
      <c r="N337" s="28">
        <v>1904.5599500000001</v>
      </c>
      <c r="O337" s="28">
        <v>256.3</v>
      </c>
      <c r="P337" s="28">
        <v>1648</v>
      </c>
      <c r="Q337" s="28">
        <v>0.25995000000000001</v>
      </c>
      <c r="R337" s="28">
        <v>153.615858</v>
      </c>
    </row>
    <row r="338" spans="1:18" x14ac:dyDescent="0.25">
      <c r="A338" t="s">
        <v>18</v>
      </c>
      <c r="B338">
        <v>500</v>
      </c>
      <c r="C338">
        <v>105</v>
      </c>
      <c r="D338">
        <v>4</v>
      </c>
      <c r="E338" s="28">
        <v>3.1000000000000001E-5</v>
      </c>
      <c r="F338" s="28">
        <v>92.2</v>
      </c>
      <c r="G338" s="28">
        <v>44.6</v>
      </c>
      <c r="H338" s="28">
        <v>0.48373101952277658</v>
      </c>
      <c r="I338" s="28">
        <v>69.058300000000003</v>
      </c>
      <c r="J338" s="28">
        <v>30.941700000000001</v>
      </c>
      <c r="K338" s="28">
        <v>77.142899999999997</v>
      </c>
      <c r="L338" s="28">
        <v>76</v>
      </c>
      <c r="M338" s="28">
        <v>100</v>
      </c>
      <c r="N338" s="28">
        <v>1938.55774</v>
      </c>
      <c r="O338" s="28">
        <v>256.3</v>
      </c>
      <c r="P338" s="28">
        <v>1682</v>
      </c>
      <c r="Q338" s="28">
        <v>0.25774000000000002</v>
      </c>
      <c r="R338" s="28">
        <v>152.49586400000001</v>
      </c>
    </row>
    <row r="339" spans="1:18" x14ac:dyDescent="0.25">
      <c r="A339" t="s">
        <v>18</v>
      </c>
      <c r="B339">
        <v>500</v>
      </c>
      <c r="C339">
        <v>105</v>
      </c>
      <c r="D339">
        <v>4</v>
      </c>
      <c r="E339" s="28">
        <v>3.1000000000000001E-5</v>
      </c>
      <c r="F339" s="28">
        <v>92.2</v>
      </c>
      <c r="G339" s="28">
        <v>45.8</v>
      </c>
      <c r="H339" s="28">
        <v>0.49674620390455526</v>
      </c>
      <c r="I339" s="28">
        <v>64.628799999999998</v>
      </c>
      <c r="J339" s="28">
        <v>35.371200000000002</v>
      </c>
      <c r="K339" s="28">
        <v>77.142899999999997</v>
      </c>
      <c r="L339" s="28">
        <v>76</v>
      </c>
      <c r="M339" s="28">
        <v>100</v>
      </c>
      <c r="N339" s="28">
        <v>1889.35735</v>
      </c>
      <c r="O339" s="28">
        <v>256.3</v>
      </c>
      <c r="P339" s="28">
        <v>1632.8</v>
      </c>
      <c r="Q339" s="28">
        <v>0.25735000000000002</v>
      </c>
      <c r="R339" s="28">
        <v>159.840261</v>
      </c>
    </row>
    <row r="340" spans="1:18" x14ac:dyDescent="0.25">
      <c r="A340" t="s">
        <v>18</v>
      </c>
      <c r="B340">
        <v>500</v>
      </c>
      <c r="C340">
        <v>105</v>
      </c>
      <c r="D340">
        <v>4</v>
      </c>
      <c r="E340" s="28">
        <v>2.9E-5</v>
      </c>
      <c r="F340" s="28">
        <v>92.2</v>
      </c>
      <c r="G340" s="28">
        <v>41.8</v>
      </c>
      <c r="H340" s="28">
        <v>0.45336225596529278</v>
      </c>
      <c r="I340" s="28">
        <v>68.899500000000003</v>
      </c>
      <c r="J340" s="28">
        <v>31.1005</v>
      </c>
      <c r="K340" s="28">
        <v>75.238100000000003</v>
      </c>
      <c r="L340" s="28">
        <v>74</v>
      </c>
      <c r="M340" s="28">
        <v>100</v>
      </c>
      <c r="N340" s="28">
        <v>2039.7544499999999</v>
      </c>
      <c r="O340" s="28">
        <v>256.3</v>
      </c>
      <c r="P340" s="28">
        <v>1783.2</v>
      </c>
      <c r="Q340" s="28">
        <v>0.25445000000000001</v>
      </c>
      <c r="R340" s="28">
        <v>151.95159799999999</v>
      </c>
    </row>
    <row r="341" spans="1:18" x14ac:dyDescent="0.25">
      <c r="A341" t="s">
        <v>18</v>
      </c>
      <c r="B341">
        <v>500</v>
      </c>
      <c r="C341">
        <v>105</v>
      </c>
      <c r="D341">
        <v>4</v>
      </c>
      <c r="E341" s="28">
        <v>3.3000000000000003E-5</v>
      </c>
      <c r="F341" s="28">
        <v>92.2</v>
      </c>
      <c r="G341" s="28">
        <v>46</v>
      </c>
      <c r="H341" s="28">
        <v>0.4989154013015184</v>
      </c>
      <c r="I341" s="28">
        <v>65.652199999999993</v>
      </c>
      <c r="J341" s="28">
        <v>34.347799999999999</v>
      </c>
      <c r="K341" s="28">
        <v>77.142899999999997</v>
      </c>
      <c r="L341" s="28">
        <v>76</v>
      </c>
      <c r="M341" s="28">
        <v>100</v>
      </c>
      <c r="N341" s="28">
        <v>1935.2562700000001</v>
      </c>
      <c r="O341" s="28">
        <v>256.3</v>
      </c>
      <c r="P341" s="28">
        <v>1678.7</v>
      </c>
      <c r="Q341" s="28">
        <v>0.25627</v>
      </c>
      <c r="R341" s="28">
        <v>157.908942</v>
      </c>
    </row>
    <row r="342" spans="1:18" x14ac:dyDescent="0.25">
      <c r="A342" t="s">
        <v>18</v>
      </c>
      <c r="B342">
        <v>500</v>
      </c>
      <c r="C342">
        <v>105</v>
      </c>
      <c r="D342">
        <v>4</v>
      </c>
      <c r="E342" s="28">
        <v>3.1000000000000001E-5</v>
      </c>
      <c r="F342" s="28">
        <v>92.2</v>
      </c>
      <c r="G342" s="28">
        <v>45.6</v>
      </c>
      <c r="H342" s="28">
        <v>0.49457700650759218</v>
      </c>
      <c r="I342" s="28">
        <v>67.543899999999994</v>
      </c>
      <c r="J342" s="28">
        <v>32.456099999999999</v>
      </c>
      <c r="K342" s="28">
        <v>80</v>
      </c>
      <c r="L342" s="28">
        <v>79</v>
      </c>
      <c r="M342" s="28">
        <v>100</v>
      </c>
      <c r="N342" s="28">
        <v>1920.8606299999999</v>
      </c>
      <c r="O342" s="28">
        <v>256.3</v>
      </c>
      <c r="P342" s="28">
        <v>1664.3</v>
      </c>
      <c r="Q342" s="28">
        <v>0.26062999999999997</v>
      </c>
      <c r="R342" s="28">
        <v>154.74112500000001</v>
      </c>
    </row>
    <row r="343" spans="1:18" x14ac:dyDescent="0.25">
      <c r="A343" t="s">
        <v>18</v>
      </c>
      <c r="B343">
        <v>500</v>
      </c>
      <c r="C343">
        <v>105</v>
      </c>
      <c r="D343">
        <v>4</v>
      </c>
      <c r="E343" s="28">
        <v>3.1999999999999999E-5</v>
      </c>
      <c r="F343" s="28">
        <v>92.2</v>
      </c>
      <c r="G343" s="28">
        <v>47.6</v>
      </c>
      <c r="H343" s="28">
        <v>0.51626898047722347</v>
      </c>
      <c r="I343" s="28">
        <v>66.386600000000001</v>
      </c>
      <c r="J343" s="28">
        <v>33.613399999999999</v>
      </c>
      <c r="K343" s="28">
        <v>83.8095</v>
      </c>
      <c r="L343" s="28">
        <v>83</v>
      </c>
      <c r="M343" s="28">
        <v>100</v>
      </c>
      <c r="N343" s="28">
        <v>1848.4644599999999</v>
      </c>
      <c r="O343" s="28">
        <v>256.3</v>
      </c>
      <c r="P343" s="28">
        <v>1591.9</v>
      </c>
      <c r="Q343" s="28">
        <v>0.26445999999999997</v>
      </c>
      <c r="R343" s="28">
        <v>158.18967000000001</v>
      </c>
    </row>
    <row r="344" spans="1:18" x14ac:dyDescent="0.25">
      <c r="A344" t="s">
        <v>18</v>
      </c>
      <c r="B344">
        <v>500</v>
      </c>
      <c r="C344">
        <v>105</v>
      </c>
      <c r="D344">
        <v>4</v>
      </c>
      <c r="E344" s="28">
        <v>3.1999999999999999E-5</v>
      </c>
      <c r="F344" s="28">
        <v>92.2</v>
      </c>
      <c r="G344" s="28">
        <v>46.6</v>
      </c>
      <c r="H344" s="28">
        <v>0.50542299349240782</v>
      </c>
      <c r="I344" s="28">
        <v>66.094399999999993</v>
      </c>
      <c r="J344" s="28">
        <v>33.9056</v>
      </c>
      <c r="K344" s="28">
        <v>79.047600000000003</v>
      </c>
      <c r="L344" s="28">
        <v>78</v>
      </c>
      <c r="M344" s="28">
        <v>100</v>
      </c>
      <c r="N344" s="28">
        <v>1889.1598200000001</v>
      </c>
      <c r="O344" s="28">
        <v>256.3</v>
      </c>
      <c r="P344" s="28">
        <v>1632.6</v>
      </c>
      <c r="Q344" s="28">
        <v>0.25982</v>
      </c>
      <c r="R344" s="28">
        <v>155.318715</v>
      </c>
    </row>
    <row r="345" spans="1:18" x14ac:dyDescent="0.25">
      <c r="A345" t="s">
        <v>18</v>
      </c>
      <c r="B345">
        <v>500</v>
      </c>
      <c r="C345">
        <v>105</v>
      </c>
      <c r="D345">
        <v>4</v>
      </c>
      <c r="E345" s="28">
        <v>2.9E-5</v>
      </c>
      <c r="F345" s="28">
        <v>92.2</v>
      </c>
      <c r="G345" s="28">
        <v>40.4</v>
      </c>
      <c r="H345" s="28">
        <v>0.43817787418655096</v>
      </c>
      <c r="I345" s="28">
        <v>70.792100000000005</v>
      </c>
      <c r="J345" s="28">
        <v>29.207899999999999</v>
      </c>
      <c r="K345" s="28">
        <v>73.333299999999994</v>
      </c>
      <c r="L345" s="28">
        <v>72</v>
      </c>
      <c r="M345" s="28">
        <v>100</v>
      </c>
      <c r="N345" s="28">
        <v>2075.2513100000001</v>
      </c>
      <c r="O345" s="28">
        <v>256.3</v>
      </c>
      <c r="P345" s="28">
        <v>1818.7</v>
      </c>
      <c r="Q345" s="28">
        <v>0.25130999999999998</v>
      </c>
      <c r="R345" s="28">
        <v>151.63340700000001</v>
      </c>
    </row>
    <row r="346" spans="1:18" x14ac:dyDescent="0.25">
      <c r="A346" t="s">
        <v>18</v>
      </c>
      <c r="B346">
        <v>500</v>
      </c>
      <c r="C346">
        <v>105</v>
      </c>
      <c r="D346">
        <v>4</v>
      </c>
      <c r="E346" s="28">
        <v>3.0000000000000001E-5</v>
      </c>
      <c r="F346" s="28">
        <v>92.2</v>
      </c>
      <c r="G346" s="28">
        <v>45.8</v>
      </c>
      <c r="H346" s="28">
        <v>0.49674620390455526</v>
      </c>
      <c r="I346" s="28">
        <v>66.812200000000004</v>
      </c>
      <c r="J346" s="28">
        <v>33.187800000000003</v>
      </c>
      <c r="K346" s="28">
        <v>80</v>
      </c>
      <c r="L346" s="28">
        <v>79</v>
      </c>
      <c r="M346" s="28">
        <v>100</v>
      </c>
      <c r="N346" s="28">
        <v>1911.16119</v>
      </c>
      <c r="O346" s="28">
        <v>256.3</v>
      </c>
      <c r="P346" s="28">
        <v>1654.6</v>
      </c>
      <c r="Q346" s="28">
        <v>0.26118999999999998</v>
      </c>
      <c r="R346" s="28">
        <v>158.20396500000001</v>
      </c>
    </row>
    <row r="347" spans="1:18" x14ac:dyDescent="0.25">
      <c r="A347" t="s">
        <v>18</v>
      </c>
      <c r="B347">
        <v>500</v>
      </c>
      <c r="C347">
        <v>105</v>
      </c>
      <c r="D347">
        <v>4</v>
      </c>
      <c r="E347" s="28">
        <v>3.1000000000000001E-5</v>
      </c>
      <c r="F347" s="28">
        <v>92.2</v>
      </c>
      <c r="G347" s="28">
        <v>45.4</v>
      </c>
      <c r="H347" s="28">
        <v>0.49240780911062904</v>
      </c>
      <c r="I347" s="28">
        <v>65.1982</v>
      </c>
      <c r="J347" s="28">
        <v>34.8018</v>
      </c>
      <c r="K347" s="28">
        <v>76.1905</v>
      </c>
      <c r="L347" s="28">
        <v>75</v>
      </c>
      <c r="M347" s="28">
        <v>100</v>
      </c>
      <c r="N347" s="28">
        <v>1926.3548900000001</v>
      </c>
      <c r="O347" s="28">
        <v>256.3</v>
      </c>
      <c r="P347" s="28">
        <v>1669.8</v>
      </c>
      <c r="Q347" s="28">
        <v>0.25489000000000001</v>
      </c>
      <c r="R347" s="28">
        <v>157.53788399999999</v>
      </c>
    </row>
    <row r="348" spans="1:18" x14ac:dyDescent="0.25">
      <c r="A348" t="s">
        <v>18</v>
      </c>
      <c r="B348">
        <v>500</v>
      </c>
      <c r="C348">
        <v>105</v>
      </c>
      <c r="D348">
        <v>4</v>
      </c>
      <c r="E348" s="28">
        <v>3.1000000000000001E-5</v>
      </c>
      <c r="F348" s="28">
        <v>92.2</v>
      </c>
      <c r="G348" s="28">
        <v>43.6</v>
      </c>
      <c r="H348" s="28">
        <v>0.47288503253796094</v>
      </c>
      <c r="I348" s="28">
        <v>66.513800000000003</v>
      </c>
      <c r="J348" s="28">
        <v>33.486199999999997</v>
      </c>
      <c r="K348" s="28">
        <v>75.238100000000003</v>
      </c>
      <c r="L348" s="28">
        <v>74</v>
      </c>
      <c r="M348" s="28">
        <v>100</v>
      </c>
      <c r="N348" s="28">
        <v>1961.45569</v>
      </c>
      <c r="O348" s="28">
        <v>256.3</v>
      </c>
      <c r="P348" s="28">
        <v>1704.9</v>
      </c>
      <c r="Q348" s="28">
        <v>0.25568999999999997</v>
      </c>
      <c r="R348" s="28">
        <v>158.66490300000001</v>
      </c>
    </row>
    <row r="349" spans="1:18" x14ac:dyDescent="0.25">
      <c r="A349" t="s">
        <v>18</v>
      </c>
      <c r="B349">
        <v>500</v>
      </c>
      <c r="C349">
        <v>105</v>
      </c>
      <c r="D349">
        <v>4</v>
      </c>
      <c r="E349" s="28">
        <v>3.1999999999999999E-5</v>
      </c>
      <c r="F349" s="28">
        <v>92.2</v>
      </c>
      <c r="G349" s="28">
        <v>46.8</v>
      </c>
      <c r="H349" s="28">
        <v>0.50759219088937091</v>
      </c>
      <c r="I349" s="28">
        <v>64.102599999999995</v>
      </c>
      <c r="J349" s="28">
        <v>35.897399999999998</v>
      </c>
      <c r="K349" s="28">
        <v>79.047600000000003</v>
      </c>
      <c r="L349" s="28">
        <v>78</v>
      </c>
      <c r="M349" s="28">
        <v>100</v>
      </c>
      <c r="N349" s="28">
        <v>1855.05918</v>
      </c>
      <c r="O349" s="28">
        <v>256.3</v>
      </c>
      <c r="P349" s="28">
        <v>1598.5</v>
      </c>
      <c r="Q349" s="28">
        <v>0.25918000000000002</v>
      </c>
      <c r="R349" s="28">
        <v>162.09559400000001</v>
      </c>
    </row>
    <row r="350" spans="1:18" x14ac:dyDescent="0.25">
      <c r="A350" t="s">
        <v>18</v>
      </c>
      <c r="B350">
        <v>500</v>
      </c>
      <c r="C350">
        <v>105</v>
      </c>
      <c r="D350">
        <v>4</v>
      </c>
      <c r="E350" s="28">
        <v>3.1000000000000001E-5</v>
      </c>
      <c r="F350" s="28">
        <v>92.2</v>
      </c>
      <c r="G350" s="28">
        <v>47</v>
      </c>
      <c r="H350" s="28">
        <v>0.50976138828633399</v>
      </c>
      <c r="I350" s="28">
        <v>66.808499999999995</v>
      </c>
      <c r="J350" s="28">
        <v>33.191499999999998</v>
      </c>
      <c r="K350" s="28">
        <v>80</v>
      </c>
      <c r="L350" s="28">
        <v>79</v>
      </c>
      <c r="M350" s="28">
        <v>100</v>
      </c>
      <c r="N350" s="28">
        <v>1859.5588600000001</v>
      </c>
      <c r="O350" s="28">
        <v>256.3</v>
      </c>
      <c r="P350" s="28">
        <v>1603</v>
      </c>
      <c r="Q350" s="28">
        <v>0.25885999999999998</v>
      </c>
      <c r="R350" s="28">
        <v>157.71813700000001</v>
      </c>
    </row>
    <row r="351" spans="1:18" x14ac:dyDescent="0.25">
      <c r="A351" t="s">
        <v>18</v>
      </c>
      <c r="B351">
        <v>500</v>
      </c>
      <c r="C351">
        <v>105</v>
      </c>
      <c r="D351">
        <v>4</v>
      </c>
      <c r="E351" s="28">
        <v>3.1999999999999999E-5</v>
      </c>
      <c r="F351" s="28">
        <v>92.2</v>
      </c>
      <c r="G351" s="28">
        <v>45.4</v>
      </c>
      <c r="H351" s="28">
        <v>0.49240780911062904</v>
      </c>
      <c r="I351" s="28">
        <v>67.400899999999993</v>
      </c>
      <c r="J351" s="28">
        <v>32.5991</v>
      </c>
      <c r="K351" s="28">
        <v>75.238100000000003</v>
      </c>
      <c r="L351" s="28">
        <v>74</v>
      </c>
      <c r="M351" s="28">
        <v>100</v>
      </c>
      <c r="N351" s="28">
        <v>1951.3554200000001</v>
      </c>
      <c r="O351" s="28">
        <v>256.3</v>
      </c>
      <c r="P351" s="28">
        <v>1694.8</v>
      </c>
      <c r="Q351" s="28">
        <v>0.25541999999999998</v>
      </c>
      <c r="R351" s="28">
        <v>153.93029200000001</v>
      </c>
    </row>
    <row r="352" spans="1:18" x14ac:dyDescent="0.25">
      <c r="A352" t="s">
        <v>18</v>
      </c>
      <c r="B352">
        <v>500</v>
      </c>
      <c r="C352">
        <v>105</v>
      </c>
      <c r="D352">
        <v>4</v>
      </c>
      <c r="E352" s="28">
        <v>3.3000000000000003E-5</v>
      </c>
      <c r="F352" s="28">
        <v>92.2</v>
      </c>
      <c r="G352" s="28">
        <v>47.6</v>
      </c>
      <c r="H352" s="28">
        <v>0.51626898047722347</v>
      </c>
      <c r="I352" s="28">
        <v>63.445399999999999</v>
      </c>
      <c r="J352" s="28">
        <v>36.554600000000001</v>
      </c>
      <c r="K352" s="28">
        <v>80</v>
      </c>
      <c r="L352" s="28">
        <v>79</v>
      </c>
      <c r="M352" s="28">
        <v>100</v>
      </c>
      <c r="N352" s="28">
        <v>1830.65978</v>
      </c>
      <c r="O352" s="28">
        <v>256.3</v>
      </c>
      <c r="P352" s="28">
        <v>1574.1</v>
      </c>
      <c r="Q352" s="28">
        <v>0.25978000000000001</v>
      </c>
      <c r="R352" s="28">
        <v>161.23605800000001</v>
      </c>
    </row>
    <row r="353" spans="1:18" x14ac:dyDescent="0.25">
      <c r="A353" t="s">
        <v>18</v>
      </c>
      <c r="B353">
        <v>500</v>
      </c>
      <c r="C353">
        <v>105</v>
      </c>
      <c r="D353">
        <v>4</v>
      </c>
      <c r="E353" s="28">
        <v>3.0000000000000001E-5</v>
      </c>
      <c r="F353" s="28">
        <v>92.2</v>
      </c>
      <c r="G353" s="28">
        <v>43.6</v>
      </c>
      <c r="H353" s="28">
        <v>0.47288503253796094</v>
      </c>
      <c r="I353" s="28">
        <v>66.972499999999997</v>
      </c>
      <c r="J353" s="28">
        <v>33.027500000000003</v>
      </c>
      <c r="K353" s="28">
        <v>77.142899999999997</v>
      </c>
      <c r="L353" s="28">
        <v>76</v>
      </c>
      <c r="M353" s="28">
        <v>100</v>
      </c>
      <c r="N353" s="28">
        <v>1983.6575800000001</v>
      </c>
      <c r="O353" s="28">
        <v>256.3</v>
      </c>
      <c r="P353" s="28">
        <v>1727.1</v>
      </c>
      <c r="Q353" s="28">
        <v>0.25757999999999998</v>
      </c>
      <c r="R353" s="28">
        <v>155.24528599999999</v>
      </c>
    </row>
    <row r="354" spans="1:18" x14ac:dyDescent="0.25">
      <c r="A354" t="s">
        <v>18</v>
      </c>
      <c r="B354">
        <v>500</v>
      </c>
      <c r="C354">
        <v>105</v>
      </c>
      <c r="D354">
        <v>4</v>
      </c>
      <c r="E354" s="28">
        <v>3.0000000000000001E-5</v>
      </c>
      <c r="F354" s="28">
        <v>92.2</v>
      </c>
      <c r="G354" s="28">
        <v>44.8</v>
      </c>
      <c r="H354" s="28">
        <v>0.48590021691973967</v>
      </c>
      <c r="I354" s="28">
        <v>68.75</v>
      </c>
      <c r="J354" s="28">
        <v>31.25</v>
      </c>
      <c r="K354" s="28">
        <v>79.047600000000003</v>
      </c>
      <c r="L354" s="28">
        <v>78</v>
      </c>
      <c r="M354" s="28">
        <v>100</v>
      </c>
      <c r="N354" s="28">
        <v>1924.6595400000001</v>
      </c>
      <c r="O354" s="28">
        <v>256.3</v>
      </c>
      <c r="P354" s="28">
        <v>1668.1</v>
      </c>
      <c r="Q354" s="28">
        <v>0.25953999999999999</v>
      </c>
      <c r="R354" s="28">
        <v>153.93194800000001</v>
      </c>
    </row>
    <row r="355" spans="1:18" x14ac:dyDescent="0.25">
      <c r="A355" t="s">
        <v>18</v>
      </c>
      <c r="B355">
        <v>500</v>
      </c>
      <c r="C355">
        <v>105</v>
      </c>
      <c r="D355">
        <v>4</v>
      </c>
      <c r="E355" s="28">
        <v>3.0000000000000001E-5</v>
      </c>
      <c r="F355" s="28">
        <v>92.2</v>
      </c>
      <c r="G355" s="28">
        <v>45.8</v>
      </c>
      <c r="H355" s="28">
        <v>0.49674620390455526</v>
      </c>
      <c r="I355" s="28">
        <v>69.432299999999998</v>
      </c>
      <c r="J355" s="28">
        <v>30.567699999999999</v>
      </c>
      <c r="K355" s="28">
        <v>81.904799999999994</v>
      </c>
      <c r="L355" s="28">
        <v>81</v>
      </c>
      <c r="M355" s="28">
        <v>100</v>
      </c>
      <c r="N355" s="28">
        <v>1922.7608</v>
      </c>
      <c r="O355" s="28">
        <v>256.3</v>
      </c>
      <c r="P355" s="28">
        <v>1666.2</v>
      </c>
      <c r="Q355" s="28">
        <v>0.26079999999999998</v>
      </c>
      <c r="R355" s="28">
        <v>152.157938</v>
      </c>
    </row>
    <row r="356" spans="1:18" x14ac:dyDescent="0.25">
      <c r="A356" t="s">
        <v>18</v>
      </c>
      <c r="B356">
        <v>500</v>
      </c>
      <c r="C356">
        <v>105</v>
      </c>
      <c r="D356">
        <v>4</v>
      </c>
      <c r="E356" s="28">
        <v>3.1000000000000001E-5</v>
      </c>
      <c r="F356" s="28">
        <v>92.2</v>
      </c>
      <c r="G356" s="28">
        <v>47.2</v>
      </c>
      <c r="H356" s="28">
        <v>0.51193058568329719</v>
      </c>
      <c r="I356" s="28">
        <v>66.949200000000005</v>
      </c>
      <c r="J356" s="28">
        <v>33.050800000000002</v>
      </c>
      <c r="K356" s="28">
        <v>79.047600000000003</v>
      </c>
      <c r="L356" s="28">
        <v>78</v>
      </c>
      <c r="M356" s="28">
        <v>100</v>
      </c>
      <c r="N356" s="28">
        <v>1853.6582100000001</v>
      </c>
      <c r="O356" s="28">
        <v>256.3</v>
      </c>
      <c r="P356" s="28">
        <v>1597.1</v>
      </c>
      <c r="Q356" s="28">
        <v>0.25821</v>
      </c>
      <c r="R356" s="28">
        <v>155.647291</v>
      </c>
    </row>
    <row r="357" spans="1:18" x14ac:dyDescent="0.25">
      <c r="A357" t="s">
        <v>18</v>
      </c>
      <c r="B357">
        <v>500</v>
      </c>
      <c r="C357">
        <v>105</v>
      </c>
      <c r="D357">
        <v>4</v>
      </c>
      <c r="E357" s="28">
        <v>3.1999999999999999E-5</v>
      </c>
      <c r="F357" s="28">
        <v>92.2</v>
      </c>
      <c r="G357" s="28">
        <v>47.6</v>
      </c>
      <c r="H357" s="28">
        <v>0.51626898047722347</v>
      </c>
      <c r="I357" s="28">
        <v>63.025199999999998</v>
      </c>
      <c r="J357" s="28">
        <v>36.974800000000002</v>
      </c>
      <c r="K357" s="28">
        <v>76.1905</v>
      </c>
      <c r="L357" s="28">
        <v>75</v>
      </c>
      <c r="M357" s="28">
        <v>100</v>
      </c>
      <c r="N357" s="28">
        <v>1840.6571100000001</v>
      </c>
      <c r="O357" s="28">
        <v>256.3</v>
      </c>
      <c r="P357" s="28">
        <v>1584.1</v>
      </c>
      <c r="Q357" s="28">
        <v>0.25711000000000001</v>
      </c>
      <c r="R357" s="28">
        <v>159.18123</v>
      </c>
    </row>
    <row r="358" spans="1:18" x14ac:dyDescent="0.25">
      <c r="A358" t="s">
        <v>18</v>
      </c>
      <c r="B358">
        <v>500</v>
      </c>
      <c r="C358">
        <v>105</v>
      </c>
      <c r="D358">
        <v>4</v>
      </c>
      <c r="E358" s="28">
        <v>3.1000000000000001E-5</v>
      </c>
      <c r="F358" s="28">
        <v>92.2</v>
      </c>
      <c r="G358" s="28">
        <v>45.4</v>
      </c>
      <c r="H358" s="28">
        <v>0.49240780911062904</v>
      </c>
      <c r="I358" s="28">
        <v>67.400899999999993</v>
      </c>
      <c r="J358" s="28">
        <v>32.5991</v>
      </c>
      <c r="K358" s="28">
        <v>79.047600000000003</v>
      </c>
      <c r="L358" s="28">
        <v>78</v>
      </c>
      <c r="M358" s="28">
        <v>100</v>
      </c>
      <c r="N358" s="28">
        <v>1910.5580399999999</v>
      </c>
      <c r="O358" s="28">
        <v>256.3</v>
      </c>
      <c r="P358" s="28">
        <v>1654</v>
      </c>
      <c r="Q358" s="28">
        <v>0.25803999999999999</v>
      </c>
      <c r="R358" s="28">
        <v>158.24291600000001</v>
      </c>
    </row>
    <row r="359" spans="1:18" x14ac:dyDescent="0.25">
      <c r="A359" t="s">
        <v>18</v>
      </c>
      <c r="B359">
        <v>500</v>
      </c>
      <c r="C359">
        <v>105</v>
      </c>
      <c r="D359">
        <v>4</v>
      </c>
      <c r="E359" s="28">
        <v>3.1999999999999999E-5</v>
      </c>
      <c r="F359" s="28">
        <v>92.2</v>
      </c>
      <c r="G359" s="28">
        <v>46.2</v>
      </c>
      <c r="H359" s="28">
        <v>0.50108459869848154</v>
      </c>
      <c r="I359" s="28">
        <v>64.069299999999998</v>
      </c>
      <c r="J359" s="28">
        <v>35.930700000000002</v>
      </c>
      <c r="K359" s="28">
        <v>82.857100000000003</v>
      </c>
      <c r="L359" s="28">
        <v>82</v>
      </c>
      <c r="M359" s="28">
        <v>100</v>
      </c>
      <c r="N359" s="28">
        <v>1876.3626200000001</v>
      </c>
      <c r="O359" s="28">
        <v>256.3</v>
      </c>
      <c r="P359" s="28">
        <v>1619.8</v>
      </c>
      <c r="Q359" s="28">
        <v>0.26262000000000002</v>
      </c>
      <c r="R359" s="28">
        <v>161.28527199999999</v>
      </c>
    </row>
    <row r="360" spans="1:18" x14ac:dyDescent="0.25">
      <c r="A360" t="s">
        <v>18</v>
      </c>
      <c r="B360">
        <v>500</v>
      </c>
      <c r="C360">
        <v>105</v>
      </c>
      <c r="D360">
        <v>4</v>
      </c>
      <c r="E360" s="28">
        <v>3.1000000000000001E-5</v>
      </c>
      <c r="F360" s="28">
        <v>92.2</v>
      </c>
      <c r="G360" s="28">
        <v>45.8</v>
      </c>
      <c r="H360" s="28">
        <v>0.49674620390455526</v>
      </c>
      <c r="I360" s="28">
        <v>65.0655</v>
      </c>
      <c r="J360" s="28">
        <v>34.9345</v>
      </c>
      <c r="K360" s="28">
        <v>81.904799999999994</v>
      </c>
      <c r="L360" s="28">
        <v>81</v>
      </c>
      <c r="M360" s="28">
        <v>100</v>
      </c>
      <c r="N360" s="28">
        <v>1908.5624800000001</v>
      </c>
      <c r="O360" s="28">
        <v>256.3</v>
      </c>
      <c r="P360" s="28">
        <v>1652</v>
      </c>
      <c r="Q360" s="28">
        <v>0.26247999999999999</v>
      </c>
      <c r="R360" s="28">
        <v>159.59661700000001</v>
      </c>
    </row>
    <row r="361" spans="1:18" x14ac:dyDescent="0.25">
      <c r="A361" t="s">
        <v>18</v>
      </c>
      <c r="B361">
        <v>500</v>
      </c>
      <c r="C361">
        <v>105</v>
      </c>
      <c r="D361">
        <v>4</v>
      </c>
      <c r="E361" s="28">
        <v>3.1000000000000001E-5</v>
      </c>
      <c r="F361" s="28">
        <v>92.2</v>
      </c>
      <c r="G361" s="28">
        <v>46.6</v>
      </c>
      <c r="H361" s="28">
        <v>0.50542299349240782</v>
      </c>
      <c r="I361" s="28">
        <v>64.806899999999999</v>
      </c>
      <c r="J361" s="28">
        <v>35.193100000000001</v>
      </c>
      <c r="K361" s="28">
        <v>78.095200000000006</v>
      </c>
      <c r="L361" s="28">
        <v>77</v>
      </c>
      <c r="M361" s="28">
        <v>100</v>
      </c>
      <c r="N361" s="28">
        <v>1866.3571199999999</v>
      </c>
      <c r="O361" s="28">
        <v>256.3</v>
      </c>
      <c r="P361" s="28">
        <v>1609.8</v>
      </c>
      <c r="Q361" s="28">
        <v>0.25712000000000002</v>
      </c>
      <c r="R361" s="28">
        <v>159.162406</v>
      </c>
    </row>
    <row r="362" spans="1:18" x14ac:dyDescent="0.25">
      <c r="A362" t="s">
        <v>18</v>
      </c>
      <c r="B362">
        <v>500</v>
      </c>
      <c r="C362">
        <v>105</v>
      </c>
      <c r="D362">
        <v>4</v>
      </c>
      <c r="E362" s="28">
        <v>3.1000000000000001E-5</v>
      </c>
      <c r="F362" s="28">
        <v>92.2</v>
      </c>
      <c r="G362" s="28">
        <v>44.4</v>
      </c>
      <c r="H362" s="28">
        <v>0.48156182212581344</v>
      </c>
      <c r="I362" s="28">
        <v>62.6126</v>
      </c>
      <c r="J362" s="28">
        <v>37.3874</v>
      </c>
      <c r="K362" s="28">
        <v>75.238100000000003</v>
      </c>
      <c r="L362" s="28">
        <v>74</v>
      </c>
      <c r="M362" s="28">
        <v>100</v>
      </c>
      <c r="N362" s="28">
        <v>1935.2532200000001</v>
      </c>
      <c r="O362" s="28">
        <v>256.3</v>
      </c>
      <c r="P362" s="28">
        <v>1678.7</v>
      </c>
      <c r="Q362" s="28">
        <v>0.25322</v>
      </c>
      <c r="R362" s="28">
        <v>162.084362</v>
      </c>
    </row>
    <row r="363" spans="1:18" x14ac:dyDescent="0.25">
      <c r="A363" t="s">
        <v>18</v>
      </c>
      <c r="B363">
        <v>500</v>
      </c>
      <c r="C363">
        <v>105</v>
      </c>
      <c r="D363">
        <v>4</v>
      </c>
      <c r="E363" s="28">
        <v>3.1999999999999999E-5</v>
      </c>
      <c r="F363" s="28">
        <v>92.2</v>
      </c>
      <c r="G363" s="28">
        <v>46.2</v>
      </c>
      <c r="H363" s="28">
        <v>0.50108459869848154</v>
      </c>
      <c r="I363" s="28">
        <v>64.502200000000002</v>
      </c>
      <c r="J363" s="28">
        <v>35.497799999999998</v>
      </c>
      <c r="K363" s="28">
        <v>79.047600000000003</v>
      </c>
      <c r="L363" s="28">
        <v>78</v>
      </c>
      <c r="M363" s="28">
        <v>100</v>
      </c>
      <c r="N363" s="28">
        <v>1877.3588400000001</v>
      </c>
      <c r="O363" s="28">
        <v>256.3</v>
      </c>
      <c r="P363" s="28">
        <v>1620.8</v>
      </c>
      <c r="Q363" s="28">
        <v>0.25884000000000001</v>
      </c>
      <c r="R363" s="28">
        <v>160.589507</v>
      </c>
    </row>
    <row r="364" spans="1:18" x14ac:dyDescent="0.25">
      <c r="A364" t="s">
        <v>18</v>
      </c>
      <c r="B364">
        <v>500</v>
      </c>
      <c r="C364">
        <v>105</v>
      </c>
      <c r="D364">
        <v>4</v>
      </c>
      <c r="E364" s="28">
        <v>3.1000000000000001E-5</v>
      </c>
      <c r="F364" s="28">
        <v>92.2</v>
      </c>
      <c r="G364" s="28">
        <v>44.2</v>
      </c>
      <c r="H364" s="28">
        <v>0.47939262472885036</v>
      </c>
      <c r="I364" s="28">
        <v>67.8733</v>
      </c>
      <c r="J364" s="28">
        <v>32.1267</v>
      </c>
      <c r="K364" s="28">
        <v>81.904799999999994</v>
      </c>
      <c r="L364" s="28">
        <v>81</v>
      </c>
      <c r="M364" s="28">
        <v>100</v>
      </c>
      <c r="N364" s="28">
        <v>1957.5615299999999</v>
      </c>
      <c r="O364" s="28">
        <v>256.3</v>
      </c>
      <c r="P364" s="28">
        <v>1701</v>
      </c>
      <c r="Q364" s="28">
        <v>0.26152999999999998</v>
      </c>
      <c r="R364" s="28">
        <v>153.830443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24B05-7E68-4C4B-B914-65665A8F30C6}">
  <sheetPr codeName="Planilha2"/>
  <dimension ref="A1:U721"/>
  <sheetViews>
    <sheetView zoomScale="130" zoomScaleNormal="130" workbookViewId="0">
      <pane ySplit="1" topLeftCell="A217" activePane="bottomLeft" state="frozen"/>
      <selection pane="bottomLeft" activeCell="W226" sqref="W226"/>
    </sheetView>
  </sheetViews>
  <sheetFormatPr defaultRowHeight="15" x14ac:dyDescent="0.25"/>
  <cols>
    <col min="1" max="1" width="18.5703125" bestFit="1" customWidth="1"/>
    <col min="2" max="2" width="10.5703125" bestFit="1" customWidth="1"/>
    <col min="3" max="3" width="10.140625" bestFit="1" customWidth="1"/>
    <col min="4" max="4" width="7.5703125" bestFit="1" customWidth="1"/>
    <col min="5" max="5" width="11.140625" bestFit="1" customWidth="1"/>
    <col min="6" max="6" width="12.5703125" bestFit="1" customWidth="1"/>
    <col min="7" max="7" width="11" customWidth="1"/>
    <col min="8" max="8" width="15.140625" bestFit="1" customWidth="1"/>
    <col min="9" max="9" width="13.7109375" bestFit="1" customWidth="1"/>
    <col min="10" max="10" width="14" bestFit="1" customWidth="1"/>
    <col min="11" max="11" width="11.5703125" bestFit="1" customWidth="1"/>
    <col min="12" max="12" width="11.7109375" bestFit="1" customWidth="1"/>
    <col min="13" max="14" width="12.7109375" bestFit="1" customWidth="1"/>
    <col min="15" max="15" width="17.85546875" bestFit="1" customWidth="1"/>
    <col min="16" max="16" width="16" bestFit="1" customWidth="1"/>
    <col min="17" max="17" width="10.42578125" bestFit="1" customWidth="1"/>
    <col min="18" max="18" width="12.85546875" bestFit="1" customWidth="1"/>
    <col min="19" max="19" width="15" bestFit="1" customWidth="1"/>
    <col min="20" max="20" width="10.42578125" bestFit="1" customWidth="1"/>
    <col min="21" max="21" width="15.42578125" bestFit="1" customWidth="1"/>
    <col min="22" max="22" width="15" customWidth="1"/>
    <col min="23" max="23" width="14.85546875" bestFit="1" customWidth="1"/>
    <col min="24" max="24" width="8.5703125" bestFit="1" customWidth="1"/>
    <col min="25" max="25" width="15.42578125" bestFit="1" customWidth="1"/>
  </cols>
  <sheetData>
    <row r="1" spans="1:21" x14ac:dyDescent="0.25">
      <c r="A1" t="s">
        <v>53</v>
      </c>
      <c r="B1" t="s">
        <v>0</v>
      </c>
      <c r="C1" t="s">
        <v>50</v>
      </c>
      <c r="D1" t="s">
        <v>51</v>
      </c>
      <c r="E1" t="s">
        <v>1</v>
      </c>
      <c r="F1" t="s">
        <v>2</v>
      </c>
      <c r="G1" t="s">
        <v>3</v>
      </c>
      <c r="H1" t="s">
        <v>36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s="29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</row>
    <row r="2" spans="1:21" x14ac:dyDescent="0.25">
      <c r="A2" t="s">
        <v>34</v>
      </c>
      <c r="B2">
        <v>300</v>
      </c>
      <c r="C2">
        <v>105</v>
      </c>
      <c r="D2">
        <v>4</v>
      </c>
      <c r="E2" s="28">
        <v>0.15806200000000001</v>
      </c>
      <c r="F2" s="28">
        <v>94.333299999999994</v>
      </c>
      <c r="G2" s="28">
        <v>92</v>
      </c>
      <c r="H2" s="28">
        <v>0.97526536228458038</v>
      </c>
      <c r="I2" s="28">
        <v>66.666700000000006</v>
      </c>
      <c r="J2" s="28">
        <v>33.333300000000001</v>
      </c>
      <c r="K2" s="28">
        <v>85.714299999999994</v>
      </c>
      <c r="L2" s="28">
        <v>85</v>
      </c>
      <c r="M2" s="28">
        <v>100</v>
      </c>
      <c r="N2" s="28">
        <v>165.06841</v>
      </c>
      <c r="O2" s="28">
        <v>107.5</v>
      </c>
      <c r="P2" s="28">
        <v>57.3</v>
      </c>
      <c r="Q2" s="28">
        <v>0.26840999999999998</v>
      </c>
      <c r="R2" s="28">
        <v>161.29000300000001</v>
      </c>
      <c r="S2" s="28">
        <v>100</v>
      </c>
      <c r="T2" s="28">
        <v>0.95</v>
      </c>
      <c r="U2" t="s">
        <v>18</v>
      </c>
    </row>
    <row r="3" spans="1:21" x14ac:dyDescent="0.25">
      <c r="A3" t="s">
        <v>34</v>
      </c>
      <c r="B3">
        <v>300</v>
      </c>
      <c r="C3">
        <v>105</v>
      </c>
      <c r="D3">
        <v>4</v>
      </c>
      <c r="E3" s="28">
        <v>0.158973</v>
      </c>
      <c r="F3" s="28">
        <v>94.333299999999994</v>
      </c>
      <c r="G3" s="28">
        <v>92</v>
      </c>
      <c r="H3" s="28">
        <v>0.97526536228458038</v>
      </c>
      <c r="I3" s="28">
        <v>67.391300000000001</v>
      </c>
      <c r="J3" s="28">
        <v>32.608699999999999</v>
      </c>
      <c r="K3" s="28">
        <v>84.761899999999997</v>
      </c>
      <c r="L3" s="28">
        <v>84</v>
      </c>
      <c r="M3" s="28">
        <v>100</v>
      </c>
      <c r="N3" s="28">
        <v>165.26684</v>
      </c>
      <c r="O3" s="28">
        <v>107.5</v>
      </c>
      <c r="P3" s="28">
        <v>57.5</v>
      </c>
      <c r="Q3" s="28">
        <v>0.26684000000000002</v>
      </c>
      <c r="R3" s="28">
        <v>160.42354499999999</v>
      </c>
      <c r="S3" s="28">
        <v>100</v>
      </c>
      <c r="T3" s="28">
        <v>0.95</v>
      </c>
      <c r="U3" t="s">
        <v>18</v>
      </c>
    </row>
    <row r="4" spans="1:21" x14ac:dyDescent="0.25">
      <c r="A4" t="s">
        <v>34</v>
      </c>
      <c r="B4">
        <v>300</v>
      </c>
      <c r="C4">
        <v>105</v>
      </c>
      <c r="D4">
        <v>4</v>
      </c>
      <c r="E4" s="28">
        <v>0.14985999999999999</v>
      </c>
      <c r="F4" s="28">
        <v>94.333299999999994</v>
      </c>
      <c r="G4" s="28">
        <v>91.666700000000006</v>
      </c>
      <c r="H4" s="28">
        <v>0.97173214548839071</v>
      </c>
      <c r="I4" s="28">
        <v>65.818200000000004</v>
      </c>
      <c r="J4" s="28">
        <v>34.181800000000003</v>
      </c>
      <c r="K4" s="28">
        <v>85.714299999999994</v>
      </c>
      <c r="L4" s="28">
        <v>85</v>
      </c>
      <c r="M4" s="28">
        <v>100</v>
      </c>
      <c r="N4" s="28">
        <v>172.56828999999999</v>
      </c>
      <c r="O4" s="28">
        <v>107.5</v>
      </c>
      <c r="P4" s="28">
        <v>64.8</v>
      </c>
      <c r="Q4" s="28">
        <v>0.26828999999999997</v>
      </c>
      <c r="R4" s="28">
        <v>162.62040200000001</v>
      </c>
      <c r="S4" s="28">
        <v>100</v>
      </c>
      <c r="T4" s="28">
        <v>0.95</v>
      </c>
      <c r="U4" t="s">
        <v>18</v>
      </c>
    </row>
    <row r="5" spans="1:21" x14ac:dyDescent="0.25">
      <c r="A5" t="s">
        <v>34</v>
      </c>
      <c r="B5">
        <v>300</v>
      </c>
      <c r="C5">
        <v>105</v>
      </c>
      <c r="D5">
        <v>4</v>
      </c>
      <c r="E5" s="28">
        <v>0.160082</v>
      </c>
      <c r="F5" s="28">
        <v>94.333299999999994</v>
      </c>
      <c r="G5" s="28">
        <v>91.666700000000006</v>
      </c>
      <c r="H5" s="28">
        <v>0.97173214548839071</v>
      </c>
      <c r="I5" s="28">
        <v>66.545500000000004</v>
      </c>
      <c r="J5" s="28">
        <v>33.454500000000003</v>
      </c>
      <c r="K5" s="28">
        <v>82.857100000000003</v>
      </c>
      <c r="L5" s="28">
        <v>82</v>
      </c>
      <c r="M5" s="28">
        <v>100</v>
      </c>
      <c r="N5" s="28">
        <v>174.96538000000001</v>
      </c>
      <c r="O5" s="28">
        <v>107.5</v>
      </c>
      <c r="P5" s="28">
        <v>67.2</v>
      </c>
      <c r="Q5" s="28">
        <v>0.26538</v>
      </c>
      <c r="R5" s="28">
        <v>161.356931</v>
      </c>
      <c r="S5" s="28">
        <v>100</v>
      </c>
      <c r="T5" s="28">
        <v>0.95</v>
      </c>
      <c r="U5" t="s">
        <v>18</v>
      </c>
    </row>
    <row r="6" spans="1:21" x14ac:dyDescent="0.25">
      <c r="A6" t="s">
        <v>34</v>
      </c>
      <c r="B6">
        <v>300</v>
      </c>
      <c r="C6">
        <v>105</v>
      </c>
      <c r="D6">
        <v>4</v>
      </c>
      <c r="E6" s="28">
        <v>0.152919</v>
      </c>
      <c r="F6" s="28">
        <v>94.333299999999994</v>
      </c>
      <c r="G6" s="28">
        <v>91.666700000000006</v>
      </c>
      <c r="H6" s="28">
        <v>0.97173214548839071</v>
      </c>
      <c r="I6" s="28">
        <v>66.909099999999995</v>
      </c>
      <c r="J6" s="28">
        <v>33.090899999999998</v>
      </c>
      <c r="K6" s="28">
        <v>85.714299999999994</v>
      </c>
      <c r="L6" s="28">
        <v>85</v>
      </c>
      <c r="M6" s="28">
        <v>100</v>
      </c>
      <c r="N6" s="28">
        <v>174.96908999999999</v>
      </c>
      <c r="O6" s="28">
        <v>107.5</v>
      </c>
      <c r="P6" s="28">
        <v>67.2</v>
      </c>
      <c r="Q6" s="28">
        <v>0.26909</v>
      </c>
      <c r="R6" s="28">
        <v>160.991736</v>
      </c>
      <c r="S6" s="28">
        <v>100</v>
      </c>
      <c r="T6" s="28">
        <v>0.95</v>
      </c>
      <c r="U6" t="s">
        <v>18</v>
      </c>
    </row>
    <row r="7" spans="1:21" x14ac:dyDescent="0.25">
      <c r="A7" t="s">
        <v>34</v>
      </c>
      <c r="B7">
        <v>300</v>
      </c>
      <c r="C7">
        <v>105</v>
      </c>
      <c r="D7">
        <v>4</v>
      </c>
      <c r="E7" s="28">
        <v>0.15789900000000001</v>
      </c>
      <c r="F7" s="28">
        <v>94.333299999999994</v>
      </c>
      <c r="G7" s="28">
        <v>91.666700000000006</v>
      </c>
      <c r="H7" s="28">
        <v>0.97173214548839071</v>
      </c>
      <c r="I7" s="28">
        <v>67.2727</v>
      </c>
      <c r="J7" s="28">
        <v>32.7273</v>
      </c>
      <c r="K7" s="28">
        <v>84.761899999999997</v>
      </c>
      <c r="L7" s="28">
        <v>84</v>
      </c>
      <c r="M7" s="28">
        <v>100</v>
      </c>
      <c r="N7" s="28">
        <v>175.56708</v>
      </c>
      <c r="O7" s="28">
        <v>107.5</v>
      </c>
      <c r="P7" s="28">
        <v>67.8</v>
      </c>
      <c r="Q7" s="28">
        <v>0.26707999999999998</v>
      </c>
      <c r="R7" s="28">
        <v>160.00867500000001</v>
      </c>
      <c r="S7" s="28">
        <v>100</v>
      </c>
      <c r="T7" s="28">
        <v>0.95</v>
      </c>
      <c r="U7" t="s">
        <v>18</v>
      </c>
    </row>
    <row r="8" spans="1:21" x14ac:dyDescent="0.25">
      <c r="A8" t="s">
        <v>34</v>
      </c>
      <c r="B8">
        <v>300</v>
      </c>
      <c r="C8">
        <v>105</v>
      </c>
      <c r="D8">
        <v>4</v>
      </c>
      <c r="E8" s="28">
        <v>0.154331</v>
      </c>
      <c r="F8" s="28">
        <v>94.333299999999994</v>
      </c>
      <c r="G8" s="28">
        <v>91.666700000000006</v>
      </c>
      <c r="H8" s="28">
        <v>0.97173214548839071</v>
      </c>
      <c r="I8" s="28">
        <v>66.181799999999996</v>
      </c>
      <c r="J8" s="28">
        <v>33.818199999999997</v>
      </c>
      <c r="K8" s="28">
        <v>83.8095</v>
      </c>
      <c r="L8" s="28">
        <v>83</v>
      </c>
      <c r="M8" s="28">
        <v>100</v>
      </c>
      <c r="N8" s="28">
        <v>177.96635000000001</v>
      </c>
      <c r="O8" s="28">
        <v>107.5</v>
      </c>
      <c r="P8" s="28">
        <v>70.2</v>
      </c>
      <c r="Q8" s="28">
        <v>0.26634999999999998</v>
      </c>
      <c r="R8" s="28">
        <v>161.23695599999999</v>
      </c>
      <c r="S8" s="28">
        <v>100</v>
      </c>
      <c r="T8" s="28">
        <v>0.95</v>
      </c>
      <c r="U8" t="s">
        <v>18</v>
      </c>
    </row>
    <row r="9" spans="1:21" x14ac:dyDescent="0.25">
      <c r="A9" t="s">
        <v>34</v>
      </c>
      <c r="B9">
        <v>300</v>
      </c>
      <c r="C9">
        <v>105</v>
      </c>
      <c r="D9">
        <v>4</v>
      </c>
      <c r="E9" s="28">
        <v>0.148919</v>
      </c>
      <c r="F9" s="28">
        <v>94.333299999999994</v>
      </c>
      <c r="G9" s="28">
        <v>91.333299999999994</v>
      </c>
      <c r="H9" s="28">
        <v>0.96819786862115498</v>
      </c>
      <c r="I9" s="28">
        <v>66.423400000000001</v>
      </c>
      <c r="J9" s="28">
        <v>33.576599999999999</v>
      </c>
      <c r="K9" s="28">
        <v>84.761899999999997</v>
      </c>
      <c r="L9" s="28">
        <v>84</v>
      </c>
      <c r="M9" s="28">
        <v>100</v>
      </c>
      <c r="N9" s="28">
        <v>182.26684</v>
      </c>
      <c r="O9" s="28">
        <v>107.5</v>
      </c>
      <c r="P9" s="28">
        <v>74.5</v>
      </c>
      <c r="Q9" s="28">
        <v>0.26684000000000002</v>
      </c>
      <c r="R9" s="28">
        <v>161.69685899999999</v>
      </c>
      <c r="S9" s="28">
        <v>100</v>
      </c>
      <c r="T9" s="28">
        <v>0.95</v>
      </c>
      <c r="U9" t="s">
        <v>18</v>
      </c>
    </row>
    <row r="10" spans="1:21" x14ac:dyDescent="0.25">
      <c r="A10" t="s">
        <v>34</v>
      </c>
      <c r="B10">
        <v>300</v>
      </c>
      <c r="C10">
        <v>105</v>
      </c>
      <c r="D10">
        <v>4</v>
      </c>
      <c r="E10" s="28">
        <v>0.15476400000000001</v>
      </c>
      <c r="F10" s="28">
        <v>94.333299999999994</v>
      </c>
      <c r="G10" s="28">
        <v>91.333299999999994</v>
      </c>
      <c r="H10" s="28">
        <v>0.96819786862115498</v>
      </c>
      <c r="I10" s="28">
        <v>66.058400000000006</v>
      </c>
      <c r="J10" s="28">
        <v>33.941600000000001</v>
      </c>
      <c r="K10" s="28">
        <v>84.761899999999997</v>
      </c>
      <c r="L10" s="28">
        <v>84</v>
      </c>
      <c r="M10" s="28">
        <v>100</v>
      </c>
      <c r="N10" s="28">
        <v>182.2672</v>
      </c>
      <c r="O10" s="28">
        <v>107.5</v>
      </c>
      <c r="P10" s="28">
        <v>74.5</v>
      </c>
      <c r="Q10" s="28">
        <v>0.26719999999999999</v>
      </c>
      <c r="R10" s="28">
        <v>162.10870399999999</v>
      </c>
      <c r="S10" s="28">
        <v>100</v>
      </c>
      <c r="T10" s="28">
        <v>0.95</v>
      </c>
      <c r="U10" t="s">
        <v>18</v>
      </c>
    </row>
    <row r="11" spans="1:21" x14ac:dyDescent="0.25">
      <c r="A11" t="s">
        <v>34</v>
      </c>
      <c r="B11">
        <v>300</v>
      </c>
      <c r="C11">
        <v>105</v>
      </c>
      <c r="D11">
        <v>4</v>
      </c>
      <c r="E11" s="28">
        <v>0.150007</v>
      </c>
      <c r="F11" s="28">
        <v>94.333299999999994</v>
      </c>
      <c r="G11" s="28">
        <v>91.333299999999994</v>
      </c>
      <c r="H11" s="28">
        <v>0.96819786862115498</v>
      </c>
      <c r="I11" s="28">
        <v>65.693399999999997</v>
      </c>
      <c r="J11" s="28">
        <v>34.306600000000003</v>
      </c>
      <c r="K11" s="28">
        <v>81.904799999999994</v>
      </c>
      <c r="L11" s="28">
        <v>81</v>
      </c>
      <c r="M11" s="28">
        <v>100</v>
      </c>
      <c r="N11" s="28">
        <v>182.46489</v>
      </c>
      <c r="O11" s="28">
        <v>107.5</v>
      </c>
      <c r="P11" s="28">
        <v>74.7</v>
      </c>
      <c r="Q11" s="28">
        <v>0.26489000000000001</v>
      </c>
      <c r="R11" s="28">
        <v>162.119012</v>
      </c>
      <c r="S11" s="28">
        <v>100</v>
      </c>
      <c r="T11" s="28">
        <v>0.95</v>
      </c>
      <c r="U11" t="s">
        <v>18</v>
      </c>
    </row>
    <row r="12" spans="1:21" x14ac:dyDescent="0.25">
      <c r="A12" t="s">
        <v>34</v>
      </c>
      <c r="B12">
        <v>300</v>
      </c>
      <c r="C12">
        <v>105</v>
      </c>
      <c r="D12">
        <v>4</v>
      </c>
      <c r="E12" s="28">
        <v>0.154227</v>
      </c>
      <c r="F12" s="28">
        <v>94.333299999999994</v>
      </c>
      <c r="G12" s="28">
        <v>91.333299999999994</v>
      </c>
      <c r="H12" s="28">
        <v>0.96819786862115498</v>
      </c>
      <c r="I12" s="28">
        <v>65.693399999999997</v>
      </c>
      <c r="J12" s="28">
        <v>34.306600000000003</v>
      </c>
      <c r="K12" s="28">
        <v>83.8095</v>
      </c>
      <c r="L12" s="28">
        <v>83</v>
      </c>
      <c r="M12" s="28">
        <v>100</v>
      </c>
      <c r="N12" s="28">
        <v>182.46606</v>
      </c>
      <c r="O12" s="28">
        <v>107.5</v>
      </c>
      <c r="P12" s="28">
        <v>74.7</v>
      </c>
      <c r="Q12" s="28">
        <v>0.26606000000000002</v>
      </c>
      <c r="R12" s="28">
        <v>162.560913</v>
      </c>
      <c r="S12" s="28">
        <v>100</v>
      </c>
      <c r="T12" s="28">
        <v>0.95</v>
      </c>
      <c r="U12" t="s">
        <v>18</v>
      </c>
    </row>
    <row r="13" spans="1:21" x14ac:dyDescent="0.25">
      <c r="A13" t="s">
        <v>34</v>
      </c>
      <c r="B13">
        <v>300</v>
      </c>
      <c r="C13">
        <v>105</v>
      </c>
      <c r="D13">
        <v>4</v>
      </c>
      <c r="E13" s="28">
        <v>0.15418000000000001</v>
      </c>
      <c r="F13" s="28">
        <v>94.333299999999994</v>
      </c>
      <c r="G13" s="28">
        <v>91.333299999999994</v>
      </c>
      <c r="H13" s="28">
        <v>0.96819786862115498</v>
      </c>
      <c r="I13" s="28">
        <v>66.058400000000006</v>
      </c>
      <c r="J13" s="28">
        <v>33.941600000000001</v>
      </c>
      <c r="K13" s="28">
        <v>83.8095</v>
      </c>
      <c r="L13" s="28">
        <v>83</v>
      </c>
      <c r="M13" s="28">
        <v>100</v>
      </c>
      <c r="N13" s="28">
        <v>182.46618000000001</v>
      </c>
      <c r="O13" s="28">
        <v>107.5</v>
      </c>
      <c r="P13" s="28">
        <v>74.7</v>
      </c>
      <c r="Q13" s="28">
        <v>0.26618000000000003</v>
      </c>
      <c r="R13" s="28">
        <v>162.029292</v>
      </c>
      <c r="S13" s="28">
        <v>100</v>
      </c>
      <c r="T13" s="28">
        <v>0.95</v>
      </c>
      <c r="U13" t="s">
        <v>18</v>
      </c>
    </row>
    <row r="14" spans="1:21" x14ac:dyDescent="0.25">
      <c r="A14" t="s">
        <v>34</v>
      </c>
      <c r="B14">
        <v>300</v>
      </c>
      <c r="C14">
        <v>105</v>
      </c>
      <c r="D14">
        <v>4</v>
      </c>
      <c r="E14" s="28">
        <v>0.15742500000000001</v>
      </c>
      <c r="F14" s="28">
        <v>94.333299999999994</v>
      </c>
      <c r="G14" s="28">
        <v>91.333299999999994</v>
      </c>
      <c r="H14" s="28">
        <v>0.96819786862115498</v>
      </c>
      <c r="I14" s="28">
        <v>66.423400000000001</v>
      </c>
      <c r="J14" s="28">
        <v>33.576599999999999</v>
      </c>
      <c r="K14" s="28">
        <v>82.857100000000003</v>
      </c>
      <c r="L14" s="28">
        <v>82</v>
      </c>
      <c r="M14" s="28">
        <v>100</v>
      </c>
      <c r="N14" s="28">
        <v>182.66485</v>
      </c>
      <c r="O14" s="28">
        <v>107.5</v>
      </c>
      <c r="P14" s="28">
        <v>74.900000000000006</v>
      </c>
      <c r="Q14" s="28">
        <v>0.26484999999999997</v>
      </c>
      <c r="R14" s="28">
        <v>161.51838000000001</v>
      </c>
      <c r="S14" s="28">
        <v>100</v>
      </c>
      <c r="T14" s="28">
        <v>0.95</v>
      </c>
      <c r="U14" t="s">
        <v>18</v>
      </c>
    </row>
    <row r="15" spans="1:21" x14ac:dyDescent="0.25">
      <c r="A15" t="s">
        <v>34</v>
      </c>
      <c r="B15">
        <v>300</v>
      </c>
      <c r="C15">
        <v>105</v>
      </c>
      <c r="D15">
        <v>4</v>
      </c>
      <c r="E15" s="28">
        <v>0.158914</v>
      </c>
      <c r="F15" s="28">
        <v>94.333299999999994</v>
      </c>
      <c r="G15" s="28">
        <v>91.333299999999994</v>
      </c>
      <c r="H15" s="28">
        <v>0.96819786862115498</v>
      </c>
      <c r="I15" s="28">
        <v>66.058400000000006</v>
      </c>
      <c r="J15" s="28">
        <v>33.941600000000001</v>
      </c>
      <c r="K15" s="28">
        <v>84.761899999999997</v>
      </c>
      <c r="L15" s="28">
        <v>84</v>
      </c>
      <c r="M15" s="28">
        <v>100</v>
      </c>
      <c r="N15" s="28">
        <v>182.66788</v>
      </c>
      <c r="O15" s="28">
        <v>107.5</v>
      </c>
      <c r="P15" s="28">
        <v>74.900000000000006</v>
      </c>
      <c r="Q15" s="28">
        <v>0.26788000000000001</v>
      </c>
      <c r="R15" s="28">
        <v>161.87855099999999</v>
      </c>
      <c r="S15" s="28">
        <v>100</v>
      </c>
      <c r="T15" s="28">
        <v>0.95</v>
      </c>
      <c r="U15" t="s">
        <v>18</v>
      </c>
    </row>
    <row r="16" spans="1:21" x14ac:dyDescent="0.25">
      <c r="A16" t="s">
        <v>34</v>
      </c>
      <c r="B16">
        <v>300</v>
      </c>
      <c r="C16">
        <v>105</v>
      </c>
      <c r="D16">
        <v>4</v>
      </c>
      <c r="E16" s="28">
        <v>0.151699</v>
      </c>
      <c r="F16" s="28">
        <v>94.333299999999994</v>
      </c>
      <c r="G16" s="28">
        <v>91.333299999999994</v>
      </c>
      <c r="H16" s="28">
        <v>0.96819786862115498</v>
      </c>
      <c r="I16" s="28">
        <v>66.423400000000001</v>
      </c>
      <c r="J16" s="28">
        <v>33.576599999999999</v>
      </c>
      <c r="K16" s="28">
        <v>84.761899999999997</v>
      </c>
      <c r="L16" s="28">
        <v>84</v>
      </c>
      <c r="M16" s="28">
        <v>100</v>
      </c>
      <c r="N16" s="28">
        <v>182.86684</v>
      </c>
      <c r="O16" s="28">
        <v>107.5</v>
      </c>
      <c r="P16" s="28">
        <v>75.099999999999994</v>
      </c>
      <c r="Q16" s="28">
        <v>0.26684000000000002</v>
      </c>
      <c r="R16" s="28">
        <v>161.368157</v>
      </c>
      <c r="S16" s="28">
        <v>100</v>
      </c>
      <c r="T16" s="28">
        <v>0.95</v>
      </c>
      <c r="U16" t="s">
        <v>18</v>
      </c>
    </row>
    <row r="17" spans="1:21" x14ac:dyDescent="0.25">
      <c r="A17" t="s">
        <v>34</v>
      </c>
      <c r="B17">
        <v>300</v>
      </c>
      <c r="C17">
        <v>105</v>
      </c>
      <c r="D17">
        <v>4</v>
      </c>
      <c r="E17" s="28">
        <v>0.15143100000000001</v>
      </c>
      <c r="F17" s="28">
        <v>94.333299999999994</v>
      </c>
      <c r="G17" s="28">
        <v>91.333299999999994</v>
      </c>
      <c r="H17" s="28">
        <v>0.96819786862115498</v>
      </c>
      <c r="I17" s="28">
        <v>66.423400000000001</v>
      </c>
      <c r="J17" s="28">
        <v>33.576599999999999</v>
      </c>
      <c r="K17" s="28">
        <v>82.857100000000003</v>
      </c>
      <c r="L17" s="28">
        <v>82</v>
      </c>
      <c r="M17" s="28">
        <v>100</v>
      </c>
      <c r="N17" s="28">
        <v>183.06514000000001</v>
      </c>
      <c r="O17" s="28">
        <v>107.5</v>
      </c>
      <c r="P17" s="28">
        <v>75.3</v>
      </c>
      <c r="Q17" s="28">
        <v>0.26513999999999999</v>
      </c>
      <c r="R17" s="28">
        <v>161.07715200000001</v>
      </c>
      <c r="S17" s="28">
        <v>100</v>
      </c>
      <c r="T17" s="28">
        <v>0.95</v>
      </c>
      <c r="U17" t="s">
        <v>18</v>
      </c>
    </row>
    <row r="18" spans="1:21" x14ac:dyDescent="0.25">
      <c r="A18" t="s">
        <v>34</v>
      </c>
      <c r="B18">
        <v>300</v>
      </c>
      <c r="C18">
        <v>105</v>
      </c>
      <c r="D18">
        <v>4</v>
      </c>
      <c r="E18" s="28">
        <v>0.15853800000000001</v>
      </c>
      <c r="F18" s="28">
        <v>94.333299999999994</v>
      </c>
      <c r="G18" s="28">
        <v>91.333299999999994</v>
      </c>
      <c r="H18" s="28">
        <v>0.96819786862115498</v>
      </c>
      <c r="I18" s="28">
        <v>67.883200000000002</v>
      </c>
      <c r="J18" s="28">
        <v>32.116799999999998</v>
      </c>
      <c r="K18" s="28">
        <v>82.857100000000003</v>
      </c>
      <c r="L18" s="28">
        <v>82</v>
      </c>
      <c r="M18" s="28">
        <v>100</v>
      </c>
      <c r="N18" s="28">
        <v>184.46526</v>
      </c>
      <c r="O18" s="28">
        <v>107.5</v>
      </c>
      <c r="P18" s="28">
        <v>76.7</v>
      </c>
      <c r="Q18" s="28">
        <v>0.26526</v>
      </c>
      <c r="R18" s="28">
        <v>159.73607799999999</v>
      </c>
      <c r="S18" s="28">
        <v>100</v>
      </c>
      <c r="T18" s="28">
        <v>0.95</v>
      </c>
      <c r="U18" t="s">
        <v>18</v>
      </c>
    </row>
    <row r="19" spans="1:21" x14ac:dyDescent="0.25">
      <c r="A19" t="s">
        <v>34</v>
      </c>
      <c r="B19">
        <v>300</v>
      </c>
      <c r="C19">
        <v>105</v>
      </c>
      <c r="D19">
        <v>4</v>
      </c>
      <c r="E19" s="28">
        <v>0.15232899999999999</v>
      </c>
      <c r="F19" s="28">
        <v>94.333299999999994</v>
      </c>
      <c r="G19" s="28">
        <v>91.333299999999994</v>
      </c>
      <c r="H19" s="28">
        <v>0.96819786862115498</v>
      </c>
      <c r="I19" s="28">
        <v>67.153300000000002</v>
      </c>
      <c r="J19" s="28">
        <v>32.846699999999998</v>
      </c>
      <c r="K19" s="28">
        <v>84.761899999999997</v>
      </c>
      <c r="L19" s="28">
        <v>84</v>
      </c>
      <c r="M19" s="28">
        <v>100</v>
      </c>
      <c r="N19" s="28">
        <v>184.66684000000001</v>
      </c>
      <c r="O19" s="28">
        <v>107.5</v>
      </c>
      <c r="P19" s="28">
        <v>76.900000000000006</v>
      </c>
      <c r="Q19" s="28">
        <v>0.26684000000000002</v>
      </c>
      <c r="R19" s="28">
        <v>161.00702699999999</v>
      </c>
      <c r="S19" s="28">
        <v>100</v>
      </c>
      <c r="T19" s="28">
        <v>0.95</v>
      </c>
      <c r="U19" t="s">
        <v>18</v>
      </c>
    </row>
    <row r="20" spans="1:21" x14ac:dyDescent="0.25">
      <c r="A20" t="s">
        <v>34</v>
      </c>
      <c r="B20">
        <v>300</v>
      </c>
      <c r="C20">
        <v>105</v>
      </c>
      <c r="D20">
        <v>4</v>
      </c>
      <c r="E20" s="28">
        <v>0.155385</v>
      </c>
      <c r="F20" s="28">
        <v>94.333299999999994</v>
      </c>
      <c r="G20" s="28">
        <v>91.333299999999994</v>
      </c>
      <c r="H20" s="28">
        <v>0.96819786862115498</v>
      </c>
      <c r="I20" s="28">
        <v>66.788300000000007</v>
      </c>
      <c r="J20" s="28">
        <v>33.2117</v>
      </c>
      <c r="K20" s="28">
        <v>83.8095</v>
      </c>
      <c r="L20" s="28">
        <v>83</v>
      </c>
      <c r="M20" s="28">
        <v>100</v>
      </c>
      <c r="N20" s="28">
        <v>184.86618000000001</v>
      </c>
      <c r="O20" s="28">
        <v>107.5</v>
      </c>
      <c r="P20" s="28">
        <v>77.099999999999994</v>
      </c>
      <c r="Q20" s="28">
        <v>0.26618000000000003</v>
      </c>
      <c r="R20" s="28">
        <v>161.18694099999999</v>
      </c>
      <c r="S20" s="28">
        <v>100</v>
      </c>
      <c r="T20" s="28">
        <v>0.95</v>
      </c>
      <c r="U20" t="s">
        <v>18</v>
      </c>
    </row>
    <row r="21" spans="1:21" x14ac:dyDescent="0.25">
      <c r="A21" t="s">
        <v>34</v>
      </c>
      <c r="B21">
        <v>300</v>
      </c>
      <c r="C21">
        <v>105</v>
      </c>
      <c r="D21">
        <v>4</v>
      </c>
      <c r="E21" s="28">
        <v>0.15489</v>
      </c>
      <c r="F21" s="28">
        <v>94.333299999999994</v>
      </c>
      <c r="G21" s="28">
        <v>91.333299999999994</v>
      </c>
      <c r="H21" s="28">
        <v>0.96819786862115498</v>
      </c>
      <c r="I21" s="28">
        <v>67.518199999999993</v>
      </c>
      <c r="J21" s="28">
        <v>32.4818</v>
      </c>
      <c r="K21" s="28">
        <v>84.761899999999997</v>
      </c>
      <c r="L21" s="28">
        <v>84</v>
      </c>
      <c r="M21" s="28">
        <v>100</v>
      </c>
      <c r="N21" s="28">
        <v>185.06639999999999</v>
      </c>
      <c r="O21" s="28">
        <v>107.5</v>
      </c>
      <c r="P21" s="28">
        <v>77.3</v>
      </c>
      <c r="Q21" s="28">
        <v>0.26640000000000003</v>
      </c>
      <c r="R21" s="28">
        <v>160.23626100000001</v>
      </c>
      <c r="S21" s="28">
        <v>100</v>
      </c>
      <c r="T21" s="28">
        <v>0.95</v>
      </c>
      <c r="U21" t="s">
        <v>18</v>
      </c>
    </row>
    <row r="22" spans="1:21" x14ac:dyDescent="0.25">
      <c r="A22" t="s">
        <v>34</v>
      </c>
      <c r="B22">
        <v>300</v>
      </c>
      <c r="C22">
        <v>105</v>
      </c>
      <c r="D22">
        <v>4</v>
      </c>
      <c r="E22" s="28">
        <v>0.15259800000000001</v>
      </c>
      <c r="F22" s="28">
        <v>94.333299999999994</v>
      </c>
      <c r="G22" s="28">
        <v>91.333299999999994</v>
      </c>
      <c r="H22" s="28">
        <v>0.96819786862115498</v>
      </c>
      <c r="I22" s="28">
        <v>67.153300000000002</v>
      </c>
      <c r="J22" s="28">
        <v>32.846699999999998</v>
      </c>
      <c r="K22" s="28">
        <v>87.619</v>
      </c>
      <c r="L22" s="28">
        <v>87</v>
      </c>
      <c r="M22" s="28">
        <v>100</v>
      </c>
      <c r="N22" s="28">
        <v>185.07006999999999</v>
      </c>
      <c r="O22" s="28">
        <v>107.5</v>
      </c>
      <c r="P22" s="28">
        <v>77.3</v>
      </c>
      <c r="Q22" s="28">
        <v>0.27006999999999998</v>
      </c>
      <c r="R22" s="28">
        <v>160.57785699999999</v>
      </c>
      <c r="S22" s="28">
        <v>100</v>
      </c>
      <c r="T22" s="28">
        <v>0.95</v>
      </c>
      <c r="U22" t="s">
        <v>18</v>
      </c>
    </row>
    <row r="23" spans="1:21" x14ac:dyDescent="0.25">
      <c r="A23" t="s">
        <v>34</v>
      </c>
      <c r="B23">
        <v>300</v>
      </c>
      <c r="C23">
        <v>105</v>
      </c>
      <c r="D23">
        <v>4</v>
      </c>
      <c r="E23" s="28">
        <v>0.157441</v>
      </c>
      <c r="F23" s="28">
        <v>94.333299999999994</v>
      </c>
      <c r="G23" s="28">
        <v>91.333299999999994</v>
      </c>
      <c r="H23" s="28">
        <v>0.96819786862115498</v>
      </c>
      <c r="I23" s="28">
        <v>66.788300000000007</v>
      </c>
      <c r="J23" s="28">
        <v>33.2117</v>
      </c>
      <c r="K23" s="28">
        <v>85.714299999999994</v>
      </c>
      <c r="L23" s="28">
        <v>85</v>
      </c>
      <c r="M23" s="28">
        <v>100</v>
      </c>
      <c r="N23" s="28">
        <v>185.26784000000001</v>
      </c>
      <c r="O23" s="28">
        <v>107.5</v>
      </c>
      <c r="P23" s="28">
        <v>77.5</v>
      </c>
      <c r="Q23" s="28">
        <v>0.26784000000000002</v>
      </c>
      <c r="R23" s="28">
        <v>161.13772599999999</v>
      </c>
      <c r="S23" s="28">
        <v>100</v>
      </c>
      <c r="T23" s="28">
        <v>0.95</v>
      </c>
      <c r="U23" t="s">
        <v>18</v>
      </c>
    </row>
    <row r="24" spans="1:21" x14ac:dyDescent="0.25">
      <c r="A24" t="s">
        <v>34</v>
      </c>
      <c r="B24">
        <v>300</v>
      </c>
      <c r="C24">
        <v>105</v>
      </c>
      <c r="D24">
        <v>4</v>
      </c>
      <c r="E24" s="28">
        <v>0.158666</v>
      </c>
      <c r="F24" s="28">
        <v>94.333299999999994</v>
      </c>
      <c r="G24" s="28">
        <v>91.333299999999994</v>
      </c>
      <c r="H24" s="28">
        <v>0.96819786862115498</v>
      </c>
      <c r="I24" s="28">
        <v>66.058400000000006</v>
      </c>
      <c r="J24" s="28">
        <v>33.941600000000001</v>
      </c>
      <c r="K24" s="28">
        <v>84.761899999999997</v>
      </c>
      <c r="L24" s="28">
        <v>84</v>
      </c>
      <c r="M24" s="28">
        <v>100</v>
      </c>
      <c r="N24" s="28">
        <v>185.46744000000001</v>
      </c>
      <c r="O24" s="28">
        <v>107.5</v>
      </c>
      <c r="P24" s="28">
        <v>77.7</v>
      </c>
      <c r="Q24" s="28">
        <v>0.26744000000000001</v>
      </c>
      <c r="R24" s="28">
        <v>161.300815</v>
      </c>
      <c r="S24" s="28">
        <v>100</v>
      </c>
      <c r="T24" s="28">
        <v>0.95</v>
      </c>
      <c r="U24" t="s">
        <v>18</v>
      </c>
    </row>
    <row r="25" spans="1:21" x14ac:dyDescent="0.25">
      <c r="A25" t="s">
        <v>34</v>
      </c>
      <c r="B25">
        <v>300</v>
      </c>
      <c r="C25">
        <v>105</v>
      </c>
      <c r="D25">
        <v>4</v>
      </c>
      <c r="E25" s="28">
        <v>0.156582</v>
      </c>
      <c r="F25" s="28">
        <v>94.333299999999994</v>
      </c>
      <c r="G25" s="28">
        <v>91.333299999999994</v>
      </c>
      <c r="H25" s="28">
        <v>0.96819786862115498</v>
      </c>
      <c r="I25" s="28">
        <v>66.788300000000007</v>
      </c>
      <c r="J25" s="28">
        <v>33.2117</v>
      </c>
      <c r="K25" s="28">
        <v>82.857100000000003</v>
      </c>
      <c r="L25" s="28">
        <v>82</v>
      </c>
      <c r="M25" s="28">
        <v>100</v>
      </c>
      <c r="N25" s="28">
        <v>187.06618</v>
      </c>
      <c r="O25" s="28">
        <v>107.5</v>
      </c>
      <c r="P25" s="28">
        <v>79.3</v>
      </c>
      <c r="Q25" s="28">
        <v>0.26618000000000003</v>
      </c>
      <c r="R25" s="28">
        <v>160.890795</v>
      </c>
      <c r="S25" s="28">
        <v>100</v>
      </c>
      <c r="T25" s="28">
        <v>0.95</v>
      </c>
      <c r="U25" t="s">
        <v>18</v>
      </c>
    </row>
    <row r="26" spans="1:21" x14ac:dyDescent="0.25">
      <c r="A26" t="s">
        <v>34</v>
      </c>
      <c r="B26">
        <v>300</v>
      </c>
      <c r="C26">
        <v>105</v>
      </c>
      <c r="D26">
        <v>4</v>
      </c>
      <c r="E26" s="28">
        <v>0.15021200000000001</v>
      </c>
      <c r="F26" s="28">
        <v>94.333299999999994</v>
      </c>
      <c r="G26" s="28">
        <v>91</v>
      </c>
      <c r="H26" s="28">
        <v>0.96466465182496541</v>
      </c>
      <c r="I26" s="28">
        <v>66.666700000000006</v>
      </c>
      <c r="J26" s="28">
        <v>33.333300000000001</v>
      </c>
      <c r="K26" s="28">
        <v>84.761899999999997</v>
      </c>
      <c r="L26" s="28">
        <v>84</v>
      </c>
      <c r="M26" s="28">
        <v>100</v>
      </c>
      <c r="N26" s="28">
        <v>187.56708</v>
      </c>
      <c r="O26" s="28">
        <v>107.5</v>
      </c>
      <c r="P26" s="28">
        <v>79.8</v>
      </c>
      <c r="Q26" s="28">
        <v>0.26707999999999998</v>
      </c>
      <c r="R26" s="28">
        <v>161.650158</v>
      </c>
      <c r="S26" s="28">
        <v>100</v>
      </c>
      <c r="T26" s="28">
        <v>0.95</v>
      </c>
      <c r="U26" t="s">
        <v>18</v>
      </c>
    </row>
    <row r="27" spans="1:21" x14ac:dyDescent="0.25">
      <c r="A27" t="s">
        <v>34</v>
      </c>
      <c r="B27">
        <v>300</v>
      </c>
      <c r="C27">
        <v>105</v>
      </c>
      <c r="D27">
        <v>4</v>
      </c>
      <c r="E27" s="28">
        <v>0.15107300000000001</v>
      </c>
      <c r="F27" s="28">
        <v>94.333299999999994</v>
      </c>
      <c r="G27" s="28">
        <v>91</v>
      </c>
      <c r="H27" s="28">
        <v>0.96466465182496541</v>
      </c>
      <c r="I27" s="28">
        <v>65.934100000000001</v>
      </c>
      <c r="J27" s="28">
        <v>34.065899999999999</v>
      </c>
      <c r="K27" s="28">
        <v>83.8095</v>
      </c>
      <c r="L27" s="28">
        <v>83</v>
      </c>
      <c r="M27" s="28">
        <v>100</v>
      </c>
      <c r="N27" s="28">
        <v>187.76623000000001</v>
      </c>
      <c r="O27" s="28">
        <v>107.5</v>
      </c>
      <c r="P27" s="28">
        <v>80</v>
      </c>
      <c r="Q27" s="28">
        <v>0.26623000000000002</v>
      </c>
      <c r="R27" s="28">
        <v>161.94673299999999</v>
      </c>
      <c r="S27" s="28">
        <v>100</v>
      </c>
      <c r="T27" s="28">
        <v>0.95</v>
      </c>
      <c r="U27" t="s">
        <v>18</v>
      </c>
    </row>
    <row r="28" spans="1:21" x14ac:dyDescent="0.25">
      <c r="A28" t="s">
        <v>34</v>
      </c>
      <c r="B28">
        <v>300</v>
      </c>
      <c r="C28">
        <v>105</v>
      </c>
      <c r="D28">
        <v>4</v>
      </c>
      <c r="E28" s="28">
        <v>0.15932199999999999</v>
      </c>
      <c r="F28" s="28">
        <v>94.333299999999994</v>
      </c>
      <c r="G28" s="28">
        <v>91</v>
      </c>
      <c r="H28" s="28">
        <v>0.96466465182496541</v>
      </c>
      <c r="I28" s="28">
        <v>66.300399999999996</v>
      </c>
      <c r="J28" s="28">
        <v>33.699599999999997</v>
      </c>
      <c r="K28" s="28">
        <v>83.8095</v>
      </c>
      <c r="L28" s="28">
        <v>83</v>
      </c>
      <c r="M28" s="28">
        <v>100</v>
      </c>
      <c r="N28" s="28">
        <v>187.76691</v>
      </c>
      <c r="O28" s="28">
        <v>107.5</v>
      </c>
      <c r="P28" s="28">
        <v>80</v>
      </c>
      <c r="Q28" s="28">
        <v>0.26690999999999998</v>
      </c>
      <c r="R28" s="28">
        <v>161.361602</v>
      </c>
      <c r="S28" s="28">
        <v>100</v>
      </c>
      <c r="T28" s="28">
        <v>0.95</v>
      </c>
      <c r="U28" t="s">
        <v>18</v>
      </c>
    </row>
    <row r="29" spans="1:21" x14ac:dyDescent="0.25">
      <c r="A29" t="s">
        <v>34</v>
      </c>
      <c r="B29">
        <v>300</v>
      </c>
      <c r="C29">
        <v>105</v>
      </c>
      <c r="D29">
        <v>4</v>
      </c>
      <c r="E29" s="28">
        <v>0.15590399999999999</v>
      </c>
      <c r="F29" s="28">
        <v>94.333299999999994</v>
      </c>
      <c r="G29" s="28">
        <v>91</v>
      </c>
      <c r="H29" s="28">
        <v>0.96466465182496541</v>
      </c>
      <c r="I29" s="28">
        <v>66.300399999999996</v>
      </c>
      <c r="J29" s="28">
        <v>33.699599999999997</v>
      </c>
      <c r="K29" s="28">
        <v>84.761899999999997</v>
      </c>
      <c r="L29" s="28">
        <v>84</v>
      </c>
      <c r="M29" s="28">
        <v>100</v>
      </c>
      <c r="N29" s="28">
        <v>187.76776000000001</v>
      </c>
      <c r="O29" s="28">
        <v>107.5</v>
      </c>
      <c r="P29" s="28">
        <v>80</v>
      </c>
      <c r="Q29" s="28">
        <v>0.26776</v>
      </c>
      <c r="R29" s="28">
        <v>161.511809</v>
      </c>
      <c r="S29" s="28">
        <v>100</v>
      </c>
      <c r="T29" s="28">
        <v>0.95</v>
      </c>
      <c r="U29" t="s">
        <v>18</v>
      </c>
    </row>
    <row r="30" spans="1:21" x14ac:dyDescent="0.25">
      <c r="A30" t="s">
        <v>34</v>
      </c>
      <c r="B30">
        <v>300</v>
      </c>
      <c r="C30">
        <v>105</v>
      </c>
      <c r="D30">
        <v>4</v>
      </c>
      <c r="E30" s="28">
        <v>0.15096999999999999</v>
      </c>
      <c r="F30" s="28">
        <v>94.333299999999994</v>
      </c>
      <c r="G30" s="28">
        <v>91</v>
      </c>
      <c r="H30" s="28">
        <v>0.96466465182496541</v>
      </c>
      <c r="I30" s="28">
        <v>65.201499999999996</v>
      </c>
      <c r="J30" s="28">
        <v>34.798499999999997</v>
      </c>
      <c r="K30" s="28">
        <v>84.761899999999997</v>
      </c>
      <c r="L30" s="28">
        <v>84</v>
      </c>
      <c r="M30" s="28">
        <v>100</v>
      </c>
      <c r="N30" s="28">
        <v>189.16708</v>
      </c>
      <c r="O30" s="28">
        <v>107.5</v>
      </c>
      <c r="P30" s="28">
        <v>81.400000000000006</v>
      </c>
      <c r="Q30" s="28">
        <v>0.26707999999999998</v>
      </c>
      <c r="R30" s="28">
        <v>164.088098</v>
      </c>
      <c r="S30" s="28">
        <v>100</v>
      </c>
      <c r="T30" s="28">
        <v>0.95</v>
      </c>
      <c r="U30" t="s">
        <v>18</v>
      </c>
    </row>
    <row r="31" spans="1:21" x14ac:dyDescent="0.25">
      <c r="A31" t="s">
        <v>34</v>
      </c>
      <c r="B31">
        <v>300</v>
      </c>
      <c r="C31">
        <v>105</v>
      </c>
      <c r="D31">
        <v>4</v>
      </c>
      <c r="E31" s="28">
        <v>0.14862900000000001</v>
      </c>
      <c r="F31" s="28">
        <v>94.333299999999994</v>
      </c>
      <c r="G31" s="28">
        <v>91</v>
      </c>
      <c r="H31" s="28">
        <v>0.96466465182496541</v>
      </c>
      <c r="I31" s="28">
        <v>64.468900000000005</v>
      </c>
      <c r="J31" s="28">
        <v>35.531100000000002</v>
      </c>
      <c r="K31" s="28">
        <v>82.857100000000003</v>
      </c>
      <c r="L31" s="28">
        <v>82</v>
      </c>
      <c r="M31" s="28">
        <v>100</v>
      </c>
      <c r="N31" s="28">
        <v>189.3655</v>
      </c>
      <c r="O31" s="28">
        <v>107.5</v>
      </c>
      <c r="P31" s="28">
        <v>81.599999999999994</v>
      </c>
      <c r="Q31" s="28">
        <v>0.26550000000000001</v>
      </c>
      <c r="R31" s="28">
        <v>164.429113</v>
      </c>
      <c r="S31" s="28">
        <v>100</v>
      </c>
      <c r="T31" s="28">
        <v>0.95</v>
      </c>
      <c r="U31" t="s">
        <v>18</v>
      </c>
    </row>
    <row r="32" spans="1:21" x14ac:dyDescent="0.25">
      <c r="A32" t="s">
        <v>34</v>
      </c>
      <c r="B32">
        <v>300</v>
      </c>
      <c r="C32">
        <v>105</v>
      </c>
      <c r="D32">
        <v>4</v>
      </c>
      <c r="E32" s="28">
        <v>0.15147099999999999</v>
      </c>
      <c r="F32" s="28">
        <v>94.333299999999994</v>
      </c>
      <c r="G32" s="28">
        <v>91</v>
      </c>
      <c r="H32" s="28">
        <v>0.96466465182496541</v>
      </c>
      <c r="I32" s="28">
        <v>66.300399999999996</v>
      </c>
      <c r="J32" s="28">
        <v>33.699599999999997</v>
      </c>
      <c r="K32" s="28">
        <v>82.857100000000003</v>
      </c>
      <c r="L32" s="28">
        <v>82</v>
      </c>
      <c r="M32" s="28">
        <v>100</v>
      </c>
      <c r="N32" s="28">
        <v>189.56460999999999</v>
      </c>
      <c r="O32" s="28">
        <v>107.5</v>
      </c>
      <c r="P32" s="28">
        <v>81.8</v>
      </c>
      <c r="Q32" s="28">
        <v>0.26461000000000001</v>
      </c>
      <c r="R32" s="28">
        <v>162.100291</v>
      </c>
      <c r="S32" s="28">
        <v>100</v>
      </c>
      <c r="T32" s="28">
        <v>0.95</v>
      </c>
      <c r="U32" t="s">
        <v>18</v>
      </c>
    </row>
    <row r="33" spans="1:21" x14ac:dyDescent="0.25">
      <c r="A33" t="s">
        <v>34</v>
      </c>
      <c r="B33">
        <v>300</v>
      </c>
      <c r="C33">
        <v>105</v>
      </c>
      <c r="D33">
        <v>4</v>
      </c>
      <c r="E33" s="28">
        <v>0.152895</v>
      </c>
      <c r="F33" s="28">
        <v>94.333299999999994</v>
      </c>
      <c r="G33" s="28">
        <v>91</v>
      </c>
      <c r="H33" s="28">
        <v>0.96466465182496541</v>
      </c>
      <c r="I33" s="28">
        <v>66.300399999999996</v>
      </c>
      <c r="J33" s="28">
        <v>33.699599999999997</v>
      </c>
      <c r="K33" s="28">
        <v>85.714299999999994</v>
      </c>
      <c r="L33" s="28">
        <v>85</v>
      </c>
      <c r="M33" s="28">
        <v>100</v>
      </c>
      <c r="N33" s="28">
        <v>189.56769</v>
      </c>
      <c r="O33" s="28">
        <v>107.5</v>
      </c>
      <c r="P33" s="28">
        <v>81.8</v>
      </c>
      <c r="Q33" s="28">
        <v>0.26768999999999998</v>
      </c>
      <c r="R33" s="28">
        <v>162.05126300000001</v>
      </c>
      <c r="S33" s="28">
        <v>100</v>
      </c>
      <c r="T33" s="28">
        <v>0.95</v>
      </c>
      <c r="U33" t="s">
        <v>18</v>
      </c>
    </row>
    <row r="34" spans="1:21" x14ac:dyDescent="0.25">
      <c r="A34" t="s">
        <v>34</v>
      </c>
      <c r="B34">
        <v>300</v>
      </c>
      <c r="C34">
        <v>105</v>
      </c>
      <c r="D34">
        <v>4</v>
      </c>
      <c r="E34" s="28">
        <v>0.15201400000000001</v>
      </c>
      <c r="F34" s="28">
        <v>94.333299999999994</v>
      </c>
      <c r="G34" s="28">
        <v>91</v>
      </c>
      <c r="H34" s="28">
        <v>0.96466465182496541</v>
      </c>
      <c r="I34" s="28">
        <v>67.399299999999997</v>
      </c>
      <c r="J34" s="28">
        <v>32.600700000000003</v>
      </c>
      <c r="K34" s="28">
        <v>84.761899999999997</v>
      </c>
      <c r="L34" s="28">
        <v>84</v>
      </c>
      <c r="M34" s="28">
        <v>100</v>
      </c>
      <c r="N34" s="28">
        <v>189.56800000000001</v>
      </c>
      <c r="O34" s="28">
        <v>107.5</v>
      </c>
      <c r="P34" s="28">
        <v>81.8</v>
      </c>
      <c r="Q34" s="28">
        <v>0.26800000000000002</v>
      </c>
      <c r="R34" s="28">
        <v>160.198443</v>
      </c>
      <c r="S34" s="28">
        <v>100</v>
      </c>
      <c r="T34" s="28">
        <v>0.95</v>
      </c>
      <c r="U34" t="s">
        <v>18</v>
      </c>
    </row>
    <row r="35" spans="1:21" x14ac:dyDescent="0.25">
      <c r="A35" t="s">
        <v>34</v>
      </c>
      <c r="B35">
        <v>300</v>
      </c>
      <c r="C35">
        <v>105</v>
      </c>
      <c r="D35">
        <v>4</v>
      </c>
      <c r="E35" s="28">
        <v>0.15262600000000001</v>
      </c>
      <c r="F35" s="28">
        <v>94.333299999999994</v>
      </c>
      <c r="G35" s="28">
        <v>91</v>
      </c>
      <c r="H35" s="28">
        <v>0.96466465182496541</v>
      </c>
      <c r="I35" s="28">
        <v>65.567800000000005</v>
      </c>
      <c r="J35" s="28">
        <v>34.432200000000002</v>
      </c>
      <c r="K35" s="28">
        <v>85.714299999999994</v>
      </c>
      <c r="L35" s="28">
        <v>85</v>
      </c>
      <c r="M35" s="28">
        <v>100</v>
      </c>
      <c r="N35" s="28">
        <v>189.76897</v>
      </c>
      <c r="O35" s="28">
        <v>107.5</v>
      </c>
      <c r="P35" s="28">
        <v>82</v>
      </c>
      <c r="Q35" s="28">
        <v>0.26896999999999999</v>
      </c>
      <c r="R35" s="28">
        <v>163.05609100000001</v>
      </c>
      <c r="S35" s="28">
        <v>100</v>
      </c>
      <c r="T35" s="28">
        <v>0.95</v>
      </c>
      <c r="U35" t="s">
        <v>18</v>
      </c>
    </row>
    <row r="36" spans="1:21" x14ac:dyDescent="0.25">
      <c r="A36" t="s">
        <v>34</v>
      </c>
      <c r="B36">
        <v>300</v>
      </c>
      <c r="C36">
        <v>105</v>
      </c>
      <c r="D36">
        <v>4</v>
      </c>
      <c r="E36" s="28">
        <v>0.15356400000000001</v>
      </c>
      <c r="F36" s="28">
        <v>94.333299999999994</v>
      </c>
      <c r="G36" s="28">
        <v>91</v>
      </c>
      <c r="H36" s="28">
        <v>0.96466465182496541</v>
      </c>
      <c r="I36" s="28">
        <v>66.300399999999996</v>
      </c>
      <c r="J36" s="28">
        <v>33.699599999999997</v>
      </c>
      <c r="K36" s="28">
        <v>85.714299999999994</v>
      </c>
      <c r="L36" s="28">
        <v>85</v>
      </c>
      <c r="M36" s="28">
        <v>100</v>
      </c>
      <c r="N36" s="28">
        <v>189.76897</v>
      </c>
      <c r="O36" s="28">
        <v>107.5</v>
      </c>
      <c r="P36" s="28">
        <v>82</v>
      </c>
      <c r="Q36" s="28">
        <v>0.26896999999999999</v>
      </c>
      <c r="R36" s="28">
        <v>162.02276499999999</v>
      </c>
      <c r="S36" s="28">
        <v>100</v>
      </c>
      <c r="T36" s="28">
        <v>0.95</v>
      </c>
      <c r="U36" t="s">
        <v>18</v>
      </c>
    </row>
    <row r="37" spans="1:21" x14ac:dyDescent="0.25">
      <c r="A37" t="s">
        <v>34</v>
      </c>
      <c r="B37">
        <v>300</v>
      </c>
      <c r="C37">
        <v>105</v>
      </c>
      <c r="D37">
        <v>4</v>
      </c>
      <c r="E37" s="28">
        <v>0.156414</v>
      </c>
      <c r="F37" s="28">
        <v>94.333299999999994</v>
      </c>
      <c r="G37" s="28">
        <v>91</v>
      </c>
      <c r="H37" s="28">
        <v>0.96466465182496541</v>
      </c>
      <c r="I37" s="28">
        <v>66.666700000000006</v>
      </c>
      <c r="J37" s="28">
        <v>33.333300000000001</v>
      </c>
      <c r="K37" s="28">
        <v>85.714299999999994</v>
      </c>
      <c r="L37" s="28">
        <v>85</v>
      </c>
      <c r="M37" s="28">
        <v>100</v>
      </c>
      <c r="N37" s="28">
        <v>189.96841000000001</v>
      </c>
      <c r="O37" s="28">
        <v>107.5</v>
      </c>
      <c r="P37" s="28">
        <v>82.2</v>
      </c>
      <c r="Q37" s="28">
        <v>0.26840999999999998</v>
      </c>
      <c r="R37" s="28">
        <v>161.29818900000001</v>
      </c>
      <c r="S37" s="28">
        <v>100</v>
      </c>
      <c r="T37" s="28">
        <v>0.95</v>
      </c>
      <c r="U37" t="s">
        <v>18</v>
      </c>
    </row>
    <row r="38" spans="1:21" x14ac:dyDescent="0.25">
      <c r="A38" t="s">
        <v>34</v>
      </c>
      <c r="B38">
        <v>300</v>
      </c>
      <c r="C38">
        <v>105</v>
      </c>
      <c r="D38">
        <v>4</v>
      </c>
      <c r="E38" s="28">
        <v>0.156111</v>
      </c>
      <c r="F38" s="28">
        <v>94.333299999999994</v>
      </c>
      <c r="G38" s="28">
        <v>91</v>
      </c>
      <c r="H38" s="28">
        <v>0.96466465182496541</v>
      </c>
      <c r="I38" s="28">
        <v>67.033000000000001</v>
      </c>
      <c r="J38" s="28">
        <v>32.966999999999999</v>
      </c>
      <c r="K38" s="28">
        <v>84.761899999999997</v>
      </c>
      <c r="L38" s="28">
        <v>84</v>
      </c>
      <c r="M38" s="28">
        <v>100</v>
      </c>
      <c r="N38" s="28">
        <v>190.16691</v>
      </c>
      <c r="O38" s="28">
        <v>107.5</v>
      </c>
      <c r="P38" s="28">
        <v>82.4</v>
      </c>
      <c r="Q38" s="28">
        <v>0.26690999999999998</v>
      </c>
      <c r="R38" s="28">
        <v>160.350402</v>
      </c>
      <c r="S38" s="28">
        <v>100</v>
      </c>
      <c r="T38" s="28">
        <v>0.95</v>
      </c>
      <c r="U38" t="s">
        <v>18</v>
      </c>
    </row>
    <row r="39" spans="1:21" x14ac:dyDescent="0.25">
      <c r="A39" t="s">
        <v>34</v>
      </c>
      <c r="B39">
        <v>300</v>
      </c>
      <c r="C39">
        <v>105</v>
      </c>
      <c r="D39">
        <v>4</v>
      </c>
      <c r="E39" s="28">
        <v>0.14972099999999999</v>
      </c>
      <c r="F39" s="28">
        <v>94.333299999999994</v>
      </c>
      <c r="G39" s="28">
        <v>91</v>
      </c>
      <c r="H39" s="28">
        <v>0.96466465182496541</v>
      </c>
      <c r="I39" s="28">
        <v>65.567800000000005</v>
      </c>
      <c r="J39" s="28">
        <v>34.432200000000002</v>
      </c>
      <c r="K39" s="28">
        <v>80</v>
      </c>
      <c r="L39" s="28">
        <v>79</v>
      </c>
      <c r="M39" s="28">
        <v>100</v>
      </c>
      <c r="N39" s="28">
        <v>192.16283000000001</v>
      </c>
      <c r="O39" s="28">
        <v>107.5</v>
      </c>
      <c r="P39" s="28">
        <v>84.4</v>
      </c>
      <c r="Q39" s="28">
        <v>0.26283000000000001</v>
      </c>
      <c r="R39" s="28">
        <v>162.51304999999999</v>
      </c>
      <c r="S39" s="28">
        <v>100</v>
      </c>
      <c r="T39" s="28">
        <v>0.95</v>
      </c>
      <c r="U39" t="s">
        <v>18</v>
      </c>
    </row>
    <row r="40" spans="1:21" x14ac:dyDescent="0.25">
      <c r="A40" t="s">
        <v>34</v>
      </c>
      <c r="B40">
        <v>300</v>
      </c>
      <c r="C40">
        <v>105</v>
      </c>
      <c r="D40">
        <v>4</v>
      </c>
      <c r="E40" s="28">
        <v>0.14661199999999999</v>
      </c>
      <c r="F40" s="28">
        <v>94.333299999999994</v>
      </c>
      <c r="G40" s="28">
        <v>91</v>
      </c>
      <c r="H40" s="28">
        <v>0.96466465182496541</v>
      </c>
      <c r="I40" s="28">
        <v>64.8352</v>
      </c>
      <c r="J40" s="28">
        <v>35.1648</v>
      </c>
      <c r="K40" s="28">
        <v>82.857100000000003</v>
      </c>
      <c r="L40" s="28">
        <v>82</v>
      </c>
      <c r="M40" s="28">
        <v>100</v>
      </c>
      <c r="N40" s="28">
        <v>192.36564999999999</v>
      </c>
      <c r="O40" s="28">
        <v>107.5</v>
      </c>
      <c r="P40" s="28">
        <v>84.6</v>
      </c>
      <c r="Q40" s="28">
        <v>0.26565</v>
      </c>
      <c r="R40" s="28">
        <v>163.44380000000001</v>
      </c>
      <c r="S40" s="28">
        <v>100</v>
      </c>
      <c r="T40" s="28">
        <v>0.95</v>
      </c>
      <c r="U40" t="s">
        <v>18</v>
      </c>
    </row>
    <row r="41" spans="1:21" x14ac:dyDescent="0.25">
      <c r="A41" t="s">
        <v>34</v>
      </c>
      <c r="B41">
        <v>300</v>
      </c>
      <c r="C41">
        <v>105</v>
      </c>
      <c r="D41">
        <v>4</v>
      </c>
      <c r="E41" s="28">
        <v>0.15510099999999999</v>
      </c>
      <c r="F41" s="28">
        <v>94.333299999999994</v>
      </c>
      <c r="G41" s="28">
        <v>91</v>
      </c>
      <c r="H41" s="28">
        <v>0.96466465182496541</v>
      </c>
      <c r="I41" s="28">
        <v>66.666700000000006</v>
      </c>
      <c r="J41" s="28">
        <v>33.333300000000001</v>
      </c>
      <c r="K41" s="28">
        <v>84.761899999999997</v>
      </c>
      <c r="L41" s="28">
        <v>84</v>
      </c>
      <c r="M41" s="28">
        <v>100</v>
      </c>
      <c r="N41" s="28">
        <v>192.36723000000001</v>
      </c>
      <c r="O41" s="28">
        <v>107.5</v>
      </c>
      <c r="P41" s="28">
        <v>84.6</v>
      </c>
      <c r="Q41" s="28">
        <v>0.26723000000000002</v>
      </c>
      <c r="R41" s="28">
        <v>161.30061699999999</v>
      </c>
      <c r="S41" s="28">
        <v>100</v>
      </c>
      <c r="T41" s="28">
        <v>0.95</v>
      </c>
      <c r="U41" t="s">
        <v>18</v>
      </c>
    </row>
    <row r="42" spans="1:21" x14ac:dyDescent="0.25">
      <c r="A42" t="s">
        <v>34</v>
      </c>
      <c r="B42">
        <v>300</v>
      </c>
      <c r="C42">
        <v>105</v>
      </c>
      <c r="D42">
        <v>4</v>
      </c>
      <c r="E42" s="28">
        <v>0.15417900000000001</v>
      </c>
      <c r="F42" s="28">
        <v>94.333299999999994</v>
      </c>
      <c r="G42" s="28">
        <v>91</v>
      </c>
      <c r="H42" s="28">
        <v>0.96466465182496541</v>
      </c>
      <c r="I42" s="28">
        <v>67.033000000000001</v>
      </c>
      <c r="J42" s="28">
        <v>32.966999999999999</v>
      </c>
      <c r="K42" s="28">
        <v>83.8095</v>
      </c>
      <c r="L42" s="28">
        <v>83</v>
      </c>
      <c r="M42" s="28">
        <v>100</v>
      </c>
      <c r="N42" s="28">
        <v>192.56567000000001</v>
      </c>
      <c r="O42" s="28">
        <v>107.5</v>
      </c>
      <c r="P42" s="28">
        <v>84.8</v>
      </c>
      <c r="Q42" s="28">
        <v>0.26567000000000002</v>
      </c>
      <c r="R42" s="28">
        <v>160.224028</v>
      </c>
      <c r="S42" s="28">
        <v>100</v>
      </c>
      <c r="T42" s="28">
        <v>0.95</v>
      </c>
      <c r="U42" t="s">
        <v>18</v>
      </c>
    </row>
    <row r="43" spans="1:21" x14ac:dyDescent="0.25">
      <c r="A43" t="s">
        <v>34</v>
      </c>
      <c r="B43">
        <v>300</v>
      </c>
      <c r="C43">
        <v>105</v>
      </c>
      <c r="D43">
        <v>4</v>
      </c>
      <c r="E43" s="28">
        <v>0.156254</v>
      </c>
      <c r="F43" s="28">
        <v>94.333299999999994</v>
      </c>
      <c r="G43" s="28">
        <v>91</v>
      </c>
      <c r="H43" s="28">
        <v>0.96466465182496541</v>
      </c>
      <c r="I43" s="28">
        <v>65.567800000000005</v>
      </c>
      <c r="J43" s="28">
        <v>34.432200000000002</v>
      </c>
      <c r="K43" s="28">
        <v>82.857100000000003</v>
      </c>
      <c r="L43" s="28">
        <v>82</v>
      </c>
      <c r="M43" s="28">
        <v>100</v>
      </c>
      <c r="N43" s="28">
        <v>192.76461</v>
      </c>
      <c r="O43" s="28">
        <v>107.5</v>
      </c>
      <c r="P43" s="28">
        <v>85</v>
      </c>
      <c r="Q43" s="28">
        <v>0.26461000000000001</v>
      </c>
      <c r="R43" s="28">
        <v>162.15107699999999</v>
      </c>
      <c r="S43" s="28">
        <v>100</v>
      </c>
      <c r="T43" s="28">
        <v>0.95</v>
      </c>
      <c r="U43" t="s">
        <v>18</v>
      </c>
    </row>
    <row r="44" spans="1:21" x14ac:dyDescent="0.25">
      <c r="A44" t="s">
        <v>34</v>
      </c>
      <c r="B44">
        <v>300</v>
      </c>
      <c r="C44">
        <v>105</v>
      </c>
      <c r="D44">
        <v>4</v>
      </c>
      <c r="E44" s="28">
        <v>0.161663</v>
      </c>
      <c r="F44" s="28">
        <v>94.333299999999994</v>
      </c>
      <c r="G44" s="28">
        <v>91</v>
      </c>
      <c r="H44" s="28">
        <v>0.96466465182496541</v>
      </c>
      <c r="I44" s="28">
        <v>66.300399999999996</v>
      </c>
      <c r="J44" s="28">
        <v>33.699599999999997</v>
      </c>
      <c r="K44" s="28">
        <v>85.714299999999994</v>
      </c>
      <c r="L44" s="28">
        <v>85</v>
      </c>
      <c r="M44" s="28">
        <v>100</v>
      </c>
      <c r="N44" s="28">
        <v>192.7672</v>
      </c>
      <c r="O44" s="28">
        <v>107.5</v>
      </c>
      <c r="P44" s="28">
        <v>85</v>
      </c>
      <c r="Q44" s="28">
        <v>0.26719999999999999</v>
      </c>
      <c r="R44" s="28">
        <v>161.688264</v>
      </c>
      <c r="S44" s="28">
        <v>100</v>
      </c>
      <c r="T44" s="28">
        <v>0.95</v>
      </c>
      <c r="U44" t="s">
        <v>18</v>
      </c>
    </row>
    <row r="45" spans="1:21" x14ac:dyDescent="0.25">
      <c r="A45" t="s">
        <v>34</v>
      </c>
      <c r="B45">
        <v>300</v>
      </c>
      <c r="C45">
        <v>105</v>
      </c>
      <c r="D45">
        <v>4</v>
      </c>
      <c r="E45" s="28">
        <v>0.160991</v>
      </c>
      <c r="F45" s="28">
        <v>94.333299999999994</v>
      </c>
      <c r="G45" s="28">
        <v>90.666700000000006</v>
      </c>
      <c r="H45" s="28">
        <v>0.96113143502877574</v>
      </c>
      <c r="I45" s="28">
        <v>65.073499999999996</v>
      </c>
      <c r="J45" s="28">
        <v>34.926499999999997</v>
      </c>
      <c r="K45" s="28">
        <v>81.904799999999994</v>
      </c>
      <c r="L45" s="28">
        <v>81</v>
      </c>
      <c r="M45" s="28">
        <v>100</v>
      </c>
      <c r="N45" s="28">
        <v>195.06399999999999</v>
      </c>
      <c r="O45" s="28">
        <v>107.5</v>
      </c>
      <c r="P45" s="28">
        <v>87.3</v>
      </c>
      <c r="Q45" s="28">
        <v>0.26400000000000001</v>
      </c>
      <c r="R45" s="28">
        <v>163.190065</v>
      </c>
      <c r="S45" s="28">
        <v>100</v>
      </c>
      <c r="T45" s="28">
        <v>0.95</v>
      </c>
      <c r="U45" t="s">
        <v>18</v>
      </c>
    </row>
    <row r="46" spans="1:21" x14ac:dyDescent="0.25">
      <c r="A46" t="s">
        <v>34</v>
      </c>
      <c r="B46">
        <v>300</v>
      </c>
      <c r="C46">
        <v>105</v>
      </c>
      <c r="D46">
        <v>4</v>
      </c>
      <c r="E46" s="28">
        <v>0.1585</v>
      </c>
      <c r="F46" s="28">
        <v>94.333299999999994</v>
      </c>
      <c r="G46" s="28">
        <v>90.666700000000006</v>
      </c>
      <c r="H46" s="28">
        <v>0.96113143502877574</v>
      </c>
      <c r="I46" s="28">
        <v>66.5441</v>
      </c>
      <c r="J46" s="28">
        <v>33.4559</v>
      </c>
      <c r="K46" s="28">
        <v>81.904799999999994</v>
      </c>
      <c r="L46" s="28">
        <v>81</v>
      </c>
      <c r="M46" s="28">
        <v>100</v>
      </c>
      <c r="N46" s="28">
        <v>195.06429</v>
      </c>
      <c r="O46" s="28">
        <v>107.5</v>
      </c>
      <c r="P46" s="28">
        <v>87.3</v>
      </c>
      <c r="Q46" s="28">
        <v>0.26429000000000002</v>
      </c>
      <c r="R46" s="28">
        <v>161.23074299999999</v>
      </c>
      <c r="S46" s="28">
        <v>100</v>
      </c>
      <c r="T46" s="28">
        <v>0.95</v>
      </c>
      <c r="U46" t="s">
        <v>18</v>
      </c>
    </row>
    <row r="47" spans="1:21" x14ac:dyDescent="0.25">
      <c r="A47" t="s">
        <v>34</v>
      </c>
      <c r="B47">
        <v>300</v>
      </c>
      <c r="C47">
        <v>105</v>
      </c>
      <c r="D47">
        <v>4</v>
      </c>
      <c r="E47" s="28">
        <v>0.15929699999999999</v>
      </c>
      <c r="F47" s="28">
        <v>94.333299999999994</v>
      </c>
      <c r="G47" s="28">
        <v>90.666700000000006</v>
      </c>
      <c r="H47" s="28">
        <v>0.96113143502877574</v>
      </c>
      <c r="I47" s="28">
        <v>66.176500000000004</v>
      </c>
      <c r="J47" s="28">
        <v>33.823500000000003</v>
      </c>
      <c r="K47" s="28">
        <v>81.904799999999994</v>
      </c>
      <c r="L47" s="28">
        <v>81</v>
      </c>
      <c r="M47" s="28">
        <v>100</v>
      </c>
      <c r="N47" s="28">
        <v>195.06521000000001</v>
      </c>
      <c r="O47" s="28">
        <v>107.5</v>
      </c>
      <c r="P47" s="28">
        <v>87.3</v>
      </c>
      <c r="Q47" s="28">
        <v>0.26521</v>
      </c>
      <c r="R47" s="28">
        <v>161.28037900000001</v>
      </c>
      <c r="S47" s="28">
        <v>100</v>
      </c>
      <c r="T47" s="28">
        <v>0.95</v>
      </c>
      <c r="U47" t="s">
        <v>18</v>
      </c>
    </row>
    <row r="48" spans="1:21" x14ac:dyDescent="0.25">
      <c r="A48" t="s">
        <v>34</v>
      </c>
      <c r="B48">
        <v>300</v>
      </c>
      <c r="C48">
        <v>105</v>
      </c>
      <c r="D48">
        <v>4</v>
      </c>
      <c r="E48" s="28">
        <v>0.15625800000000001</v>
      </c>
      <c r="F48" s="28">
        <v>94.333299999999994</v>
      </c>
      <c r="G48" s="28">
        <v>90.666700000000006</v>
      </c>
      <c r="H48" s="28">
        <v>0.96113143502877574</v>
      </c>
      <c r="I48" s="28">
        <v>66.911799999999999</v>
      </c>
      <c r="J48" s="28">
        <v>33.088200000000001</v>
      </c>
      <c r="K48" s="28">
        <v>82.857100000000003</v>
      </c>
      <c r="L48" s="28">
        <v>82</v>
      </c>
      <c r="M48" s="28">
        <v>100</v>
      </c>
      <c r="N48" s="28">
        <v>195.26428999999999</v>
      </c>
      <c r="O48" s="28">
        <v>107.5</v>
      </c>
      <c r="P48" s="28">
        <v>87.5</v>
      </c>
      <c r="Q48" s="28">
        <v>0.26429000000000002</v>
      </c>
      <c r="R48" s="28">
        <v>160.38129599999999</v>
      </c>
      <c r="S48" s="28">
        <v>100</v>
      </c>
      <c r="T48" s="28">
        <v>0.95</v>
      </c>
      <c r="U48" t="s">
        <v>18</v>
      </c>
    </row>
    <row r="49" spans="1:21" x14ac:dyDescent="0.25">
      <c r="A49" t="s">
        <v>34</v>
      </c>
      <c r="B49">
        <v>300</v>
      </c>
      <c r="C49">
        <v>105</v>
      </c>
      <c r="D49">
        <v>4</v>
      </c>
      <c r="E49" s="28">
        <v>0.15909599999999999</v>
      </c>
      <c r="F49" s="28">
        <v>94.333299999999994</v>
      </c>
      <c r="G49" s="28">
        <v>90.666700000000006</v>
      </c>
      <c r="H49" s="28">
        <v>0.96113143502877574</v>
      </c>
      <c r="I49" s="28">
        <v>66.176500000000004</v>
      </c>
      <c r="J49" s="28">
        <v>33.823500000000003</v>
      </c>
      <c r="K49" s="28">
        <v>84.761899999999997</v>
      </c>
      <c r="L49" s="28">
        <v>84</v>
      </c>
      <c r="M49" s="28">
        <v>100</v>
      </c>
      <c r="N49" s="28">
        <v>195.26687000000001</v>
      </c>
      <c r="O49" s="28">
        <v>107.5</v>
      </c>
      <c r="P49" s="28">
        <v>87.5</v>
      </c>
      <c r="Q49" s="28">
        <v>0.26687</v>
      </c>
      <c r="R49" s="28">
        <v>161.896536</v>
      </c>
      <c r="S49" s="28">
        <v>100</v>
      </c>
      <c r="T49" s="28">
        <v>0.95</v>
      </c>
      <c r="U49" t="s">
        <v>18</v>
      </c>
    </row>
    <row r="50" spans="1:21" x14ac:dyDescent="0.25">
      <c r="A50" t="s">
        <v>34</v>
      </c>
      <c r="B50">
        <v>300</v>
      </c>
      <c r="C50">
        <v>105</v>
      </c>
      <c r="D50">
        <v>4</v>
      </c>
      <c r="E50" s="28">
        <v>0.155306</v>
      </c>
      <c r="F50" s="28">
        <v>94.333299999999994</v>
      </c>
      <c r="G50" s="28">
        <v>91</v>
      </c>
      <c r="H50" s="28">
        <v>0.96466465182496541</v>
      </c>
      <c r="I50" s="28">
        <v>65.201499999999996</v>
      </c>
      <c r="J50" s="28">
        <v>34.798499999999997</v>
      </c>
      <c r="K50" s="28">
        <v>83.8095</v>
      </c>
      <c r="L50" s="28">
        <v>83</v>
      </c>
      <c r="M50" s="28">
        <v>100</v>
      </c>
      <c r="N50" s="28">
        <v>195.36671000000001</v>
      </c>
      <c r="O50" s="28">
        <v>107.5</v>
      </c>
      <c r="P50" s="28">
        <v>87.6</v>
      </c>
      <c r="Q50" s="28">
        <v>0.26671</v>
      </c>
      <c r="R50" s="28">
        <v>162.68549100000001</v>
      </c>
      <c r="S50" s="28">
        <v>100</v>
      </c>
      <c r="T50" s="28">
        <v>0.95</v>
      </c>
      <c r="U50" t="s">
        <v>18</v>
      </c>
    </row>
    <row r="51" spans="1:21" x14ac:dyDescent="0.25">
      <c r="A51" t="s">
        <v>34</v>
      </c>
      <c r="B51">
        <v>300</v>
      </c>
      <c r="C51">
        <v>105</v>
      </c>
      <c r="D51">
        <v>4</v>
      </c>
      <c r="E51" s="28">
        <v>0.15471399999999999</v>
      </c>
      <c r="F51" s="28">
        <v>94.333299999999994</v>
      </c>
      <c r="G51" s="28">
        <v>90.666700000000006</v>
      </c>
      <c r="H51" s="28">
        <v>0.96113143502877574</v>
      </c>
      <c r="I51" s="28">
        <v>65.808800000000005</v>
      </c>
      <c r="J51" s="28">
        <v>34.191200000000002</v>
      </c>
      <c r="K51" s="28">
        <v>83.8095</v>
      </c>
      <c r="L51" s="28">
        <v>83</v>
      </c>
      <c r="M51" s="28">
        <v>100</v>
      </c>
      <c r="N51" s="28">
        <v>195.86530999999999</v>
      </c>
      <c r="O51" s="28">
        <v>107.5</v>
      </c>
      <c r="P51" s="28">
        <v>88.1</v>
      </c>
      <c r="Q51" s="28">
        <v>0.26530999999999999</v>
      </c>
      <c r="R51" s="28">
        <v>161.67605900000001</v>
      </c>
      <c r="S51" s="28">
        <v>100</v>
      </c>
      <c r="T51" s="28">
        <v>0.95</v>
      </c>
      <c r="U51" t="s">
        <v>18</v>
      </c>
    </row>
    <row r="52" spans="1:21" x14ac:dyDescent="0.25">
      <c r="A52" t="s">
        <v>34</v>
      </c>
      <c r="B52">
        <v>300</v>
      </c>
      <c r="C52">
        <v>105</v>
      </c>
      <c r="D52">
        <v>4</v>
      </c>
      <c r="E52" s="28">
        <v>0.15309200000000001</v>
      </c>
      <c r="F52" s="28">
        <v>94.333299999999994</v>
      </c>
      <c r="G52" s="28">
        <v>90.666700000000006</v>
      </c>
      <c r="H52" s="28">
        <v>0.96113143502877574</v>
      </c>
      <c r="I52" s="28">
        <v>66.5441</v>
      </c>
      <c r="J52" s="28">
        <v>33.4559</v>
      </c>
      <c r="K52" s="28">
        <v>82.857100000000003</v>
      </c>
      <c r="L52" s="28">
        <v>82</v>
      </c>
      <c r="M52" s="28">
        <v>100</v>
      </c>
      <c r="N52" s="28">
        <v>196.66514000000001</v>
      </c>
      <c r="O52" s="28">
        <v>107.5</v>
      </c>
      <c r="P52" s="28">
        <v>88.9</v>
      </c>
      <c r="Q52" s="28">
        <v>0.26513999999999999</v>
      </c>
      <c r="R52" s="28">
        <v>161.539884</v>
      </c>
      <c r="S52" s="28">
        <v>100</v>
      </c>
      <c r="T52" s="28">
        <v>0.95</v>
      </c>
      <c r="U52" t="s">
        <v>18</v>
      </c>
    </row>
    <row r="53" spans="1:21" x14ac:dyDescent="0.25">
      <c r="A53" t="s">
        <v>34</v>
      </c>
      <c r="B53">
        <v>300</v>
      </c>
      <c r="C53">
        <v>105</v>
      </c>
      <c r="D53">
        <v>4</v>
      </c>
      <c r="E53" s="28">
        <v>0.150809</v>
      </c>
      <c r="F53" s="28">
        <v>94.333299999999994</v>
      </c>
      <c r="G53" s="28">
        <v>90.666700000000006</v>
      </c>
      <c r="H53" s="28">
        <v>0.96113143502877574</v>
      </c>
      <c r="I53" s="28">
        <v>65.441199999999995</v>
      </c>
      <c r="J53" s="28">
        <v>34.558799999999998</v>
      </c>
      <c r="K53" s="28">
        <v>82.857100000000003</v>
      </c>
      <c r="L53" s="28">
        <v>82</v>
      </c>
      <c r="M53" s="28">
        <v>100</v>
      </c>
      <c r="N53" s="28">
        <v>197.06538</v>
      </c>
      <c r="O53" s="28">
        <v>107.5</v>
      </c>
      <c r="P53" s="28">
        <v>89.3</v>
      </c>
      <c r="Q53" s="28">
        <v>0.26538</v>
      </c>
      <c r="R53" s="28">
        <v>162.73609999999999</v>
      </c>
      <c r="S53" s="28">
        <v>100</v>
      </c>
      <c r="T53" s="28">
        <v>0.95</v>
      </c>
      <c r="U53" t="s">
        <v>18</v>
      </c>
    </row>
    <row r="54" spans="1:21" x14ac:dyDescent="0.25">
      <c r="A54" t="s">
        <v>34</v>
      </c>
      <c r="B54">
        <v>300</v>
      </c>
      <c r="C54">
        <v>105</v>
      </c>
      <c r="D54">
        <v>4</v>
      </c>
      <c r="E54" s="28">
        <v>0.15124299999999999</v>
      </c>
      <c r="F54" s="28">
        <v>94.333299999999994</v>
      </c>
      <c r="G54" s="28">
        <v>90.666700000000006</v>
      </c>
      <c r="H54" s="28">
        <v>0.96113143502877574</v>
      </c>
      <c r="I54" s="28">
        <v>63.602899999999998</v>
      </c>
      <c r="J54" s="28">
        <v>36.397100000000002</v>
      </c>
      <c r="K54" s="28">
        <v>81.904799999999994</v>
      </c>
      <c r="L54" s="28">
        <v>81</v>
      </c>
      <c r="M54" s="28">
        <v>100</v>
      </c>
      <c r="N54" s="28">
        <v>197.26480000000001</v>
      </c>
      <c r="O54" s="28">
        <v>107.5</v>
      </c>
      <c r="P54" s="28">
        <v>89.5</v>
      </c>
      <c r="Q54" s="28">
        <v>0.26479999999999998</v>
      </c>
      <c r="R54" s="28">
        <v>165.396398</v>
      </c>
      <c r="S54" s="28">
        <v>100</v>
      </c>
      <c r="T54" s="28">
        <v>0.95</v>
      </c>
      <c r="U54" t="s">
        <v>18</v>
      </c>
    </row>
    <row r="55" spans="1:21" x14ac:dyDescent="0.25">
      <c r="A55" t="s">
        <v>34</v>
      </c>
      <c r="B55">
        <v>300</v>
      </c>
      <c r="C55">
        <v>105</v>
      </c>
      <c r="D55">
        <v>4</v>
      </c>
      <c r="E55" s="28">
        <v>0.152645</v>
      </c>
      <c r="F55" s="28">
        <v>94.333299999999994</v>
      </c>
      <c r="G55" s="28">
        <v>90.666700000000006</v>
      </c>
      <c r="H55" s="28">
        <v>0.96113143502877574</v>
      </c>
      <c r="I55" s="28">
        <v>66.176500000000004</v>
      </c>
      <c r="J55" s="28">
        <v>33.823500000000003</v>
      </c>
      <c r="K55" s="28">
        <v>82.857100000000003</v>
      </c>
      <c r="L55" s="28">
        <v>82</v>
      </c>
      <c r="M55" s="28">
        <v>100</v>
      </c>
      <c r="N55" s="28">
        <v>197.26553000000001</v>
      </c>
      <c r="O55" s="28">
        <v>107.5</v>
      </c>
      <c r="P55" s="28">
        <v>89.5</v>
      </c>
      <c r="Q55" s="28">
        <v>0.26552999999999999</v>
      </c>
      <c r="R55" s="28">
        <v>161.490891</v>
      </c>
      <c r="S55" s="28">
        <v>100</v>
      </c>
      <c r="T55" s="28">
        <v>0.95</v>
      </c>
      <c r="U55" t="s">
        <v>18</v>
      </c>
    </row>
    <row r="56" spans="1:21" x14ac:dyDescent="0.25">
      <c r="A56" t="s">
        <v>34</v>
      </c>
      <c r="B56">
        <v>300</v>
      </c>
      <c r="C56">
        <v>105</v>
      </c>
      <c r="D56">
        <v>4</v>
      </c>
      <c r="E56" s="28">
        <v>0.156277</v>
      </c>
      <c r="F56" s="28">
        <v>94.333299999999994</v>
      </c>
      <c r="G56" s="28">
        <v>90.666700000000006</v>
      </c>
      <c r="H56" s="28">
        <v>0.96113143502877574</v>
      </c>
      <c r="I56" s="28">
        <v>66.911799999999999</v>
      </c>
      <c r="J56" s="28">
        <v>33.088200000000001</v>
      </c>
      <c r="K56" s="28">
        <v>85.714299999999994</v>
      </c>
      <c r="L56" s="28">
        <v>85</v>
      </c>
      <c r="M56" s="28">
        <v>100</v>
      </c>
      <c r="N56" s="28">
        <v>197.26759999999999</v>
      </c>
      <c r="O56" s="28">
        <v>107.5</v>
      </c>
      <c r="P56" s="28">
        <v>89.5</v>
      </c>
      <c r="Q56" s="28">
        <v>0.2676</v>
      </c>
      <c r="R56" s="28">
        <v>161.31884199999999</v>
      </c>
      <c r="S56" s="28">
        <v>100</v>
      </c>
      <c r="T56" s="28">
        <v>0.95</v>
      </c>
      <c r="U56" t="s">
        <v>18</v>
      </c>
    </row>
    <row r="57" spans="1:21" x14ac:dyDescent="0.25">
      <c r="A57" t="s">
        <v>34</v>
      </c>
      <c r="B57">
        <v>300</v>
      </c>
      <c r="C57">
        <v>105</v>
      </c>
      <c r="D57">
        <v>4</v>
      </c>
      <c r="E57" s="28">
        <v>0.155281</v>
      </c>
      <c r="F57" s="28">
        <v>94.333299999999994</v>
      </c>
      <c r="G57" s="28">
        <v>90.666700000000006</v>
      </c>
      <c r="H57" s="28">
        <v>0.96113143502877574</v>
      </c>
      <c r="I57" s="28">
        <v>66.5441</v>
      </c>
      <c r="J57" s="28">
        <v>33.4559</v>
      </c>
      <c r="K57" s="28">
        <v>82.857100000000003</v>
      </c>
      <c r="L57" s="28">
        <v>82</v>
      </c>
      <c r="M57" s="28">
        <v>100</v>
      </c>
      <c r="N57" s="28">
        <v>197.46526</v>
      </c>
      <c r="O57" s="28">
        <v>107.5</v>
      </c>
      <c r="P57" s="28">
        <v>89.7</v>
      </c>
      <c r="Q57" s="28">
        <v>0.26526</v>
      </c>
      <c r="R57" s="28">
        <v>161.09924699999999</v>
      </c>
      <c r="S57" s="28">
        <v>100</v>
      </c>
      <c r="T57" s="28">
        <v>0.95</v>
      </c>
      <c r="U57" t="s">
        <v>18</v>
      </c>
    </row>
    <row r="58" spans="1:21" x14ac:dyDescent="0.25">
      <c r="A58" t="s">
        <v>34</v>
      </c>
      <c r="B58">
        <v>300</v>
      </c>
      <c r="C58">
        <v>105</v>
      </c>
      <c r="D58">
        <v>4</v>
      </c>
      <c r="E58" s="28">
        <v>0.153146</v>
      </c>
      <c r="F58" s="28">
        <v>94.333299999999994</v>
      </c>
      <c r="G58" s="28">
        <v>90.666700000000006</v>
      </c>
      <c r="H58" s="28">
        <v>0.96113143502877574</v>
      </c>
      <c r="I58" s="28">
        <v>65.808800000000005</v>
      </c>
      <c r="J58" s="28">
        <v>34.191200000000002</v>
      </c>
      <c r="K58" s="28">
        <v>82.857100000000003</v>
      </c>
      <c r="L58" s="28">
        <v>82</v>
      </c>
      <c r="M58" s="28">
        <v>100</v>
      </c>
      <c r="N58" s="28">
        <v>197.4657</v>
      </c>
      <c r="O58" s="28">
        <v>107.5</v>
      </c>
      <c r="P58" s="28">
        <v>89.7</v>
      </c>
      <c r="Q58" s="28">
        <v>0.26569999999999999</v>
      </c>
      <c r="R58" s="28">
        <v>162.12014199999999</v>
      </c>
      <c r="S58" s="28">
        <v>100</v>
      </c>
      <c r="T58" s="28">
        <v>0.95</v>
      </c>
      <c r="U58" t="s">
        <v>18</v>
      </c>
    </row>
    <row r="59" spans="1:21" x14ac:dyDescent="0.25">
      <c r="A59" t="s">
        <v>34</v>
      </c>
      <c r="B59">
        <v>300</v>
      </c>
      <c r="C59">
        <v>105</v>
      </c>
      <c r="D59">
        <v>4</v>
      </c>
      <c r="E59" s="28">
        <v>0.15404300000000001</v>
      </c>
      <c r="F59" s="28">
        <v>94.333299999999994</v>
      </c>
      <c r="G59" s="28">
        <v>90.666700000000006</v>
      </c>
      <c r="H59" s="28">
        <v>0.96113143502877574</v>
      </c>
      <c r="I59" s="28">
        <v>66.5441</v>
      </c>
      <c r="J59" s="28">
        <v>33.4559</v>
      </c>
      <c r="K59" s="28">
        <v>84.761899999999997</v>
      </c>
      <c r="L59" s="28">
        <v>84</v>
      </c>
      <c r="M59" s="28">
        <v>100</v>
      </c>
      <c r="N59" s="28">
        <v>197.46723</v>
      </c>
      <c r="O59" s="28">
        <v>107.5</v>
      </c>
      <c r="P59" s="28">
        <v>89.7</v>
      </c>
      <c r="Q59" s="28">
        <v>0.26723000000000002</v>
      </c>
      <c r="R59" s="28">
        <v>161.717568</v>
      </c>
      <c r="S59" s="28">
        <v>100</v>
      </c>
      <c r="T59" s="28">
        <v>0.95</v>
      </c>
      <c r="U59" t="s">
        <v>18</v>
      </c>
    </row>
    <row r="60" spans="1:21" x14ac:dyDescent="0.25">
      <c r="A60" t="s">
        <v>34</v>
      </c>
      <c r="B60">
        <v>300</v>
      </c>
      <c r="C60">
        <v>105</v>
      </c>
      <c r="D60">
        <v>4</v>
      </c>
      <c r="E60" s="28">
        <v>0.15688199999999999</v>
      </c>
      <c r="F60" s="28">
        <v>94.333299999999994</v>
      </c>
      <c r="G60" s="28">
        <v>90.666700000000006</v>
      </c>
      <c r="H60" s="28">
        <v>0.96113143502877574</v>
      </c>
      <c r="I60" s="28">
        <v>65.441199999999995</v>
      </c>
      <c r="J60" s="28">
        <v>34.558799999999998</v>
      </c>
      <c r="K60" s="28">
        <v>85.714299999999994</v>
      </c>
      <c r="L60" s="28">
        <v>85</v>
      </c>
      <c r="M60" s="28">
        <v>100</v>
      </c>
      <c r="N60" s="28">
        <v>197.46805000000001</v>
      </c>
      <c r="O60" s="28">
        <v>107.5</v>
      </c>
      <c r="P60" s="28">
        <v>89.7</v>
      </c>
      <c r="Q60" s="28">
        <v>0.26805000000000001</v>
      </c>
      <c r="R60" s="28">
        <v>163.14804799999999</v>
      </c>
      <c r="S60" s="28">
        <v>100</v>
      </c>
      <c r="T60" s="28">
        <v>0.95</v>
      </c>
      <c r="U60" t="s">
        <v>18</v>
      </c>
    </row>
    <row r="61" spans="1:21" x14ac:dyDescent="0.25">
      <c r="A61" t="s">
        <v>34</v>
      </c>
      <c r="B61">
        <v>300</v>
      </c>
      <c r="C61">
        <v>105</v>
      </c>
      <c r="D61">
        <v>4</v>
      </c>
      <c r="E61" s="28">
        <v>0.156699</v>
      </c>
      <c r="F61" s="28">
        <v>94.333299999999994</v>
      </c>
      <c r="G61" s="28">
        <v>90.666700000000006</v>
      </c>
      <c r="H61" s="28">
        <v>0.96113143502877574</v>
      </c>
      <c r="I61" s="28">
        <v>66.5441</v>
      </c>
      <c r="J61" s="28">
        <v>33.4559</v>
      </c>
      <c r="K61" s="28">
        <v>86.666700000000006</v>
      </c>
      <c r="L61" s="28">
        <v>86</v>
      </c>
      <c r="M61" s="28">
        <v>100</v>
      </c>
      <c r="N61" s="28">
        <v>197.46872999999999</v>
      </c>
      <c r="O61" s="28">
        <v>107.5</v>
      </c>
      <c r="P61" s="28">
        <v>89.7</v>
      </c>
      <c r="Q61" s="28">
        <v>0.26873000000000002</v>
      </c>
      <c r="R61" s="28">
        <v>161.155968</v>
      </c>
      <c r="S61" s="28">
        <v>100</v>
      </c>
      <c r="T61" s="28">
        <v>0.95</v>
      </c>
      <c r="U61" t="s">
        <v>18</v>
      </c>
    </row>
    <row r="62" spans="1:21" x14ac:dyDescent="0.25">
      <c r="A62" t="s">
        <v>34</v>
      </c>
      <c r="B62">
        <v>300</v>
      </c>
      <c r="C62">
        <v>105</v>
      </c>
      <c r="D62">
        <v>4</v>
      </c>
      <c r="E62" s="28">
        <v>0.16241700000000001</v>
      </c>
      <c r="F62" s="28">
        <v>94.333299999999994</v>
      </c>
      <c r="G62" s="28">
        <v>90.666700000000006</v>
      </c>
      <c r="H62" s="28">
        <v>0.96113143502877574</v>
      </c>
      <c r="I62" s="28">
        <v>65.441199999999995</v>
      </c>
      <c r="J62" s="28">
        <v>34.558799999999998</v>
      </c>
      <c r="K62" s="28">
        <v>87.619</v>
      </c>
      <c r="L62" s="28">
        <v>87</v>
      </c>
      <c r="M62" s="28">
        <v>100</v>
      </c>
      <c r="N62" s="28">
        <v>197.46939</v>
      </c>
      <c r="O62" s="28">
        <v>107.5</v>
      </c>
      <c r="P62" s="28">
        <v>89.7</v>
      </c>
      <c r="Q62" s="28">
        <v>0.26939000000000002</v>
      </c>
      <c r="R62" s="28">
        <v>163.40312299999999</v>
      </c>
      <c r="S62" s="28">
        <v>100</v>
      </c>
      <c r="T62" s="28">
        <v>0.95</v>
      </c>
      <c r="U62" t="s">
        <v>18</v>
      </c>
    </row>
    <row r="63" spans="1:21" x14ac:dyDescent="0.25">
      <c r="A63" t="s">
        <v>34</v>
      </c>
      <c r="B63">
        <v>300</v>
      </c>
      <c r="C63">
        <v>105</v>
      </c>
      <c r="D63">
        <v>4</v>
      </c>
      <c r="E63" s="28">
        <v>0.15983600000000001</v>
      </c>
      <c r="F63" s="28">
        <v>94.333299999999994</v>
      </c>
      <c r="G63" s="28">
        <v>90.666700000000006</v>
      </c>
      <c r="H63" s="28">
        <v>0.96113143502877574</v>
      </c>
      <c r="I63" s="28">
        <v>65.808800000000005</v>
      </c>
      <c r="J63" s="28">
        <v>34.191200000000002</v>
      </c>
      <c r="K63" s="28">
        <v>83.8095</v>
      </c>
      <c r="L63" s="28">
        <v>83</v>
      </c>
      <c r="M63" s="28">
        <v>100</v>
      </c>
      <c r="N63" s="28">
        <v>197.66493</v>
      </c>
      <c r="O63" s="28">
        <v>107.5</v>
      </c>
      <c r="P63" s="28">
        <v>89.9</v>
      </c>
      <c r="Q63" s="28">
        <v>0.26493</v>
      </c>
      <c r="R63" s="28">
        <v>162.54116400000001</v>
      </c>
      <c r="S63" s="28">
        <v>100</v>
      </c>
      <c r="T63" s="28">
        <v>0.95</v>
      </c>
      <c r="U63" t="s">
        <v>18</v>
      </c>
    </row>
    <row r="64" spans="1:21" x14ac:dyDescent="0.25">
      <c r="A64" t="s">
        <v>34</v>
      </c>
      <c r="B64">
        <v>300</v>
      </c>
      <c r="C64">
        <v>105</v>
      </c>
      <c r="D64">
        <v>4</v>
      </c>
      <c r="E64" s="28">
        <v>0.15137600000000001</v>
      </c>
      <c r="F64" s="28">
        <v>94.333299999999994</v>
      </c>
      <c r="G64" s="28">
        <v>90.666700000000006</v>
      </c>
      <c r="H64" s="28">
        <v>0.96113143502877574</v>
      </c>
      <c r="I64" s="28">
        <v>65.808800000000005</v>
      </c>
      <c r="J64" s="28">
        <v>34.191200000000002</v>
      </c>
      <c r="K64" s="28">
        <v>85.714299999999994</v>
      </c>
      <c r="L64" s="28">
        <v>85</v>
      </c>
      <c r="M64" s="28">
        <v>100</v>
      </c>
      <c r="N64" s="28">
        <v>197.66775999999999</v>
      </c>
      <c r="O64" s="28">
        <v>107.5</v>
      </c>
      <c r="P64" s="28">
        <v>89.9</v>
      </c>
      <c r="Q64" s="28">
        <v>0.26776</v>
      </c>
      <c r="R64" s="28">
        <v>162.24901</v>
      </c>
      <c r="S64" s="28">
        <v>100</v>
      </c>
      <c r="T64" s="28">
        <v>0.95</v>
      </c>
      <c r="U64" t="s">
        <v>18</v>
      </c>
    </row>
    <row r="65" spans="1:21" x14ac:dyDescent="0.25">
      <c r="A65" t="s">
        <v>34</v>
      </c>
      <c r="B65">
        <v>300</v>
      </c>
      <c r="C65">
        <v>105</v>
      </c>
      <c r="D65">
        <v>4</v>
      </c>
      <c r="E65" s="28">
        <v>0.149815</v>
      </c>
      <c r="F65" s="28">
        <v>94.333299999999994</v>
      </c>
      <c r="G65" s="28">
        <v>90.666700000000006</v>
      </c>
      <c r="H65" s="28">
        <v>0.96113143502877574</v>
      </c>
      <c r="I65" s="28">
        <v>66.176500000000004</v>
      </c>
      <c r="J65" s="28">
        <v>33.823500000000003</v>
      </c>
      <c r="K65" s="28">
        <v>86.666700000000006</v>
      </c>
      <c r="L65" s="28">
        <v>86</v>
      </c>
      <c r="M65" s="28">
        <v>100</v>
      </c>
      <c r="N65" s="28">
        <v>197.66890000000001</v>
      </c>
      <c r="O65" s="28">
        <v>107.5</v>
      </c>
      <c r="P65" s="28">
        <v>89.9</v>
      </c>
      <c r="Q65" s="28">
        <v>0.26889999999999997</v>
      </c>
      <c r="R65" s="28">
        <v>161.68553</v>
      </c>
      <c r="S65" s="28">
        <v>100</v>
      </c>
      <c r="T65" s="28">
        <v>0.95</v>
      </c>
      <c r="U65" t="s">
        <v>18</v>
      </c>
    </row>
    <row r="66" spans="1:21" x14ac:dyDescent="0.25">
      <c r="A66" t="s">
        <v>34</v>
      </c>
      <c r="B66">
        <v>300</v>
      </c>
      <c r="C66">
        <v>105</v>
      </c>
      <c r="D66">
        <v>4</v>
      </c>
      <c r="E66" s="28">
        <v>0.15176999999999999</v>
      </c>
      <c r="F66" s="28">
        <v>94.333299999999994</v>
      </c>
      <c r="G66" s="28">
        <v>90.666700000000006</v>
      </c>
      <c r="H66" s="28">
        <v>0.96113143502877574</v>
      </c>
      <c r="I66" s="28">
        <v>67.279399999999995</v>
      </c>
      <c r="J66" s="28">
        <v>32.720599999999997</v>
      </c>
      <c r="K66" s="28">
        <v>86.666700000000006</v>
      </c>
      <c r="L66" s="28">
        <v>86</v>
      </c>
      <c r="M66" s="28">
        <v>100</v>
      </c>
      <c r="N66" s="28">
        <v>197.66945999999999</v>
      </c>
      <c r="O66" s="28">
        <v>107.5</v>
      </c>
      <c r="P66" s="28">
        <v>89.9</v>
      </c>
      <c r="Q66" s="28">
        <v>0.26945999999999998</v>
      </c>
      <c r="R66" s="28">
        <v>160.414907</v>
      </c>
      <c r="S66" s="28">
        <v>100</v>
      </c>
      <c r="T66" s="28">
        <v>0.95</v>
      </c>
      <c r="U66" t="s">
        <v>18</v>
      </c>
    </row>
    <row r="67" spans="1:21" x14ac:dyDescent="0.25">
      <c r="A67" t="s">
        <v>34</v>
      </c>
      <c r="B67">
        <v>300</v>
      </c>
      <c r="C67">
        <v>105</v>
      </c>
      <c r="D67">
        <v>4</v>
      </c>
      <c r="E67" s="28">
        <v>0.15512300000000001</v>
      </c>
      <c r="F67" s="28">
        <v>94.333299999999994</v>
      </c>
      <c r="G67" s="28">
        <v>90.666700000000006</v>
      </c>
      <c r="H67" s="28">
        <v>0.96113143502877574</v>
      </c>
      <c r="I67" s="28">
        <v>65.808800000000005</v>
      </c>
      <c r="J67" s="28">
        <v>34.191200000000002</v>
      </c>
      <c r="K67" s="28">
        <v>81.904799999999994</v>
      </c>
      <c r="L67" s="28">
        <v>81</v>
      </c>
      <c r="M67" s="28">
        <v>100</v>
      </c>
      <c r="N67" s="28">
        <v>197.864</v>
      </c>
      <c r="O67" s="28">
        <v>107.5</v>
      </c>
      <c r="P67" s="28">
        <v>90.1</v>
      </c>
      <c r="Q67" s="28">
        <v>0.26400000000000001</v>
      </c>
      <c r="R67" s="28">
        <v>162.01279600000001</v>
      </c>
      <c r="S67" s="28">
        <v>100</v>
      </c>
      <c r="T67" s="28">
        <v>0.95</v>
      </c>
      <c r="U67" t="s">
        <v>18</v>
      </c>
    </row>
    <row r="68" spans="1:21" x14ac:dyDescent="0.25">
      <c r="A68" t="s">
        <v>34</v>
      </c>
      <c r="B68">
        <v>300</v>
      </c>
      <c r="C68">
        <v>105</v>
      </c>
      <c r="D68">
        <v>4</v>
      </c>
      <c r="E68" s="28">
        <v>0.152804</v>
      </c>
      <c r="F68" s="28">
        <v>94.333299999999994</v>
      </c>
      <c r="G68" s="28">
        <v>90.666700000000006</v>
      </c>
      <c r="H68" s="28">
        <v>0.96113143502877574</v>
      </c>
      <c r="I68" s="28">
        <v>64.7059</v>
      </c>
      <c r="J68" s="28">
        <v>35.2941</v>
      </c>
      <c r="K68" s="28">
        <v>82.857100000000003</v>
      </c>
      <c r="L68" s="28">
        <v>82</v>
      </c>
      <c r="M68" s="28">
        <v>100</v>
      </c>
      <c r="N68" s="28">
        <v>197.86482000000001</v>
      </c>
      <c r="O68" s="28">
        <v>107.5</v>
      </c>
      <c r="P68" s="28">
        <v>90.1</v>
      </c>
      <c r="Q68" s="28">
        <v>0.26482</v>
      </c>
      <c r="R68" s="28">
        <v>163.51908499999999</v>
      </c>
      <c r="S68" s="28">
        <v>100</v>
      </c>
      <c r="T68" s="28">
        <v>0.95</v>
      </c>
      <c r="U68" t="s">
        <v>18</v>
      </c>
    </row>
    <row r="69" spans="1:21" x14ac:dyDescent="0.25">
      <c r="A69" t="s">
        <v>34</v>
      </c>
      <c r="B69">
        <v>300</v>
      </c>
      <c r="C69">
        <v>105</v>
      </c>
      <c r="D69">
        <v>4</v>
      </c>
      <c r="E69" s="28">
        <v>0.15257200000000001</v>
      </c>
      <c r="F69" s="28">
        <v>94.333299999999994</v>
      </c>
      <c r="G69" s="28">
        <v>90.666700000000006</v>
      </c>
      <c r="H69" s="28">
        <v>0.96113143502877574</v>
      </c>
      <c r="I69" s="28">
        <v>65.073499999999996</v>
      </c>
      <c r="J69" s="28">
        <v>34.926499999999997</v>
      </c>
      <c r="K69" s="28">
        <v>83.8095</v>
      </c>
      <c r="L69" s="28">
        <v>83</v>
      </c>
      <c r="M69" s="28">
        <v>100</v>
      </c>
      <c r="N69" s="28">
        <v>198.06655000000001</v>
      </c>
      <c r="O69" s="28">
        <v>107.5</v>
      </c>
      <c r="P69" s="28">
        <v>90.3</v>
      </c>
      <c r="Q69" s="28">
        <v>0.26655000000000001</v>
      </c>
      <c r="R69" s="28">
        <v>162.94888900000001</v>
      </c>
      <c r="S69" s="28">
        <v>100</v>
      </c>
      <c r="T69" s="28">
        <v>0.95</v>
      </c>
      <c r="U69" t="s">
        <v>18</v>
      </c>
    </row>
    <row r="70" spans="1:21" x14ac:dyDescent="0.25">
      <c r="A70" t="s">
        <v>34</v>
      </c>
      <c r="B70">
        <v>300</v>
      </c>
      <c r="C70">
        <v>105</v>
      </c>
      <c r="D70">
        <v>4</v>
      </c>
      <c r="E70" s="28">
        <v>0.15537500000000001</v>
      </c>
      <c r="F70" s="28">
        <v>94.333299999999994</v>
      </c>
      <c r="G70" s="28">
        <v>90.666700000000006</v>
      </c>
      <c r="H70" s="28">
        <v>0.96113143502877574</v>
      </c>
      <c r="I70" s="28">
        <v>66.176500000000004</v>
      </c>
      <c r="J70" s="28">
        <v>33.823500000000003</v>
      </c>
      <c r="K70" s="28">
        <v>83.8095</v>
      </c>
      <c r="L70" s="28">
        <v>83</v>
      </c>
      <c r="M70" s="28">
        <v>100</v>
      </c>
      <c r="N70" s="28">
        <v>199.46582000000001</v>
      </c>
      <c r="O70" s="28">
        <v>107.5</v>
      </c>
      <c r="P70" s="28">
        <v>91.7</v>
      </c>
      <c r="Q70" s="28">
        <v>0.26582</v>
      </c>
      <c r="R70" s="28">
        <v>162.09306900000001</v>
      </c>
      <c r="S70" s="28">
        <v>100</v>
      </c>
      <c r="T70" s="28">
        <v>0.95</v>
      </c>
      <c r="U70" t="s">
        <v>18</v>
      </c>
    </row>
    <row r="71" spans="1:21" x14ac:dyDescent="0.25">
      <c r="A71" t="s">
        <v>34</v>
      </c>
      <c r="B71">
        <v>300</v>
      </c>
      <c r="C71">
        <v>105</v>
      </c>
      <c r="D71">
        <v>4</v>
      </c>
      <c r="E71" s="28">
        <v>0.15453800000000001</v>
      </c>
      <c r="F71" s="28">
        <v>94.333299999999994</v>
      </c>
      <c r="G71" s="28">
        <v>90.666700000000006</v>
      </c>
      <c r="H71" s="28">
        <v>0.96113143502877574</v>
      </c>
      <c r="I71" s="28">
        <v>65.073499999999996</v>
      </c>
      <c r="J71" s="28">
        <v>34.926499999999997</v>
      </c>
      <c r="K71" s="28">
        <v>84.761899999999997</v>
      </c>
      <c r="L71" s="28">
        <v>84</v>
      </c>
      <c r="M71" s="28">
        <v>100</v>
      </c>
      <c r="N71" s="28">
        <v>199.66651999999999</v>
      </c>
      <c r="O71" s="28">
        <v>107.5</v>
      </c>
      <c r="P71" s="28">
        <v>91.9</v>
      </c>
      <c r="Q71" s="28">
        <v>0.26651999999999998</v>
      </c>
      <c r="R71" s="28">
        <v>163.42840100000001</v>
      </c>
      <c r="S71" s="28">
        <v>100</v>
      </c>
      <c r="T71" s="28">
        <v>0.95</v>
      </c>
      <c r="U71" t="s">
        <v>18</v>
      </c>
    </row>
    <row r="72" spans="1:21" x14ac:dyDescent="0.25">
      <c r="A72" t="s">
        <v>34</v>
      </c>
      <c r="B72">
        <v>300</v>
      </c>
      <c r="C72">
        <v>105</v>
      </c>
      <c r="D72">
        <v>4</v>
      </c>
      <c r="E72" s="28">
        <v>0.165662</v>
      </c>
      <c r="F72" s="28">
        <v>94.333299999999994</v>
      </c>
      <c r="G72" s="28">
        <v>90.666700000000006</v>
      </c>
      <c r="H72" s="28">
        <v>0.96113143502877574</v>
      </c>
      <c r="I72" s="28">
        <v>65.073499999999996</v>
      </c>
      <c r="J72" s="28">
        <v>34.926499999999997</v>
      </c>
      <c r="K72" s="28">
        <v>80.952399999999997</v>
      </c>
      <c r="L72" s="28">
        <v>80</v>
      </c>
      <c r="M72" s="28">
        <v>100</v>
      </c>
      <c r="N72" s="28">
        <v>199.86284000000001</v>
      </c>
      <c r="O72" s="28">
        <v>107.5</v>
      </c>
      <c r="P72" s="28">
        <v>92.1</v>
      </c>
      <c r="Q72" s="28">
        <v>0.26284000000000002</v>
      </c>
      <c r="R72" s="28">
        <v>162.80198300000001</v>
      </c>
      <c r="S72" s="28">
        <v>100</v>
      </c>
      <c r="T72" s="28">
        <v>0.95</v>
      </c>
      <c r="U72" t="s">
        <v>18</v>
      </c>
    </row>
    <row r="73" spans="1:21" x14ac:dyDescent="0.25">
      <c r="A73" t="s">
        <v>34</v>
      </c>
      <c r="B73">
        <v>300</v>
      </c>
      <c r="C73">
        <v>105</v>
      </c>
      <c r="D73">
        <v>4</v>
      </c>
      <c r="E73" s="28">
        <v>0.155192</v>
      </c>
      <c r="F73" s="28">
        <v>94.333299999999994</v>
      </c>
      <c r="G73" s="28">
        <v>90.666700000000006</v>
      </c>
      <c r="H73" s="28">
        <v>0.96113143502877574</v>
      </c>
      <c r="I73" s="28">
        <v>65.441199999999995</v>
      </c>
      <c r="J73" s="28">
        <v>34.558799999999998</v>
      </c>
      <c r="K73" s="28">
        <v>81.904799999999994</v>
      </c>
      <c r="L73" s="28">
        <v>81</v>
      </c>
      <c r="M73" s="28">
        <v>100</v>
      </c>
      <c r="N73" s="28">
        <v>199.864</v>
      </c>
      <c r="O73" s="28">
        <v>107.5</v>
      </c>
      <c r="P73" s="28">
        <v>92.1</v>
      </c>
      <c r="Q73" s="28">
        <v>0.26400000000000001</v>
      </c>
      <c r="R73" s="28">
        <v>162.508566</v>
      </c>
      <c r="S73" s="28">
        <v>100</v>
      </c>
      <c r="T73" s="28">
        <v>0.95</v>
      </c>
      <c r="U73" t="s">
        <v>18</v>
      </c>
    </row>
    <row r="74" spans="1:21" x14ac:dyDescent="0.25">
      <c r="A74" t="s">
        <v>34</v>
      </c>
      <c r="B74">
        <v>300</v>
      </c>
      <c r="C74">
        <v>105</v>
      </c>
      <c r="D74">
        <v>4</v>
      </c>
      <c r="E74" s="28">
        <v>0.15406400000000001</v>
      </c>
      <c r="F74" s="28">
        <v>94.333299999999994</v>
      </c>
      <c r="G74" s="28">
        <v>90.666700000000006</v>
      </c>
      <c r="H74" s="28">
        <v>0.96113143502877574</v>
      </c>
      <c r="I74" s="28">
        <v>66.176500000000004</v>
      </c>
      <c r="J74" s="28">
        <v>33.823500000000003</v>
      </c>
      <c r="K74" s="28">
        <v>82.857100000000003</v>
      </c>
      <c r="L74" s="28">
        <v>82</v>
      </c>
      <c r="M74" s="28">
        <v>100</v>
      </c>
      <c r="N74" s="28">
        <v>199.8655</v>
      </c>
      <c r="O74" s="28">
        <v>107.5</v>
      </c>
      <c r="P74" s="28">
        <v>92.1</v>
      </c>
      <c r="Q74" s="28">
        <v>0.26550000000000001</v>
      </c>
      <c r="R74" s="28">
        <v>161.594863</v>
      </c>
      <c r="S74" s="28">
        <v>100</v>
      </c>
      <c r="T74" s="28">
        <v>0.95</v>
      </c>
      <c r="U74" t="s">
        <v>18</v>
      </c>
    </row>
    <row r="75" spans="1:21" x14ac:dyDescent="0.25">
      <c r="A75" t="s">
        <v>34</v>
      </c>
      <c r="B75">
        <v>300</v>
      </c>
      <c r="C75">
        <v>105</v>
      </c>
      <c r="D75">
        <v>4</v>
      </c>
      <c r="E75" s="28">
        <v>0.15286</v>
      </c>
      <c r="F75" s="28">
        <v>94.333299999999994</v>
      </c>
      <c r="G75" s="28">
        <v>90.666700000000006</v>
      </c>
      <c r="H75" s="28">
        <v>0.96113143502877574</v>
      </c>
      <c r="I75" s="28">
        <v>66.176500000000004</v>
      </c>
      <c r="J75" s="28">
        <v>33.823500000000003</v>
      </c>
      <c r="K75" s="28">
        <v>80.952399999999997</v>
      </c>
      <c r="L75" s="28">
        <v>80</v>
      </c>
      <c r="M75" s="28">
        <v>100</v>
      </c>
      <c r="N75" s="28">
        <v>200.06246999999999</v>
      </c>
      <c r="O75" s="28">
        <v>107.5</v>
      </c>
      <c r="P75" s="28">
        <v>92.3</v>
      </c>
      <c r="Q75" s="28">
        <v>0.26246999999999998</v>
      </c>
      <c r="R75" s="28">
        <v>161.76472200000001</v>
      </c>
      <c r="S75" s="28">
        <v>100</v>
      </c>
      <c r="T75" s="28">
        <v>0.95</v>
      </c>
      <c r="U75" t="s">
        <v>18</v>
      </c>
    </row>
    <row r="76" spans="1:21" x14ac:dyDescent="0.25">
      <c r="A76" t="s">
        <v>34</v>
      </c>
      <c r="B76">
        <v>300</v>
      </c>
      <c r="C76">
        <v>105</v>
      </c>
      <c r="D76">
        <v>4</v>
      </c>
      <c r="E76" s="28">
        <v>0.16059999999999999</v>
      </c>
      <c r="F76" s="28">
        <v>94.333299999999994</v>
      </c>
      <c r="G76" s="28">
        <v>90.666700000000006</v>
      </c>
      <c r="H76" s="28">
        <v>0.96113143502877574</v>
      </c>
      <c r="I76" s="28">
        <v>66.5441</v>
      </c>
      <c r="J76" s="28">
        <v>33.4559</v>
      </c>
      <c r="K76" s="28">
        <v>82.857100000000003</v>
      </c>
      <c r="L76" s="28">
        <v>82</v>
      </c>
      <c r="M76" s="28">
        <v>100</v>
      </c>
      <c r="N76" s="28">
        <v>200.26526000000001</v>
      </c>
      <c r="O76" s="28">
        <v>107.5</v>
      </c>
      <c r="P76" s="28">
        <v>92.5</v>
      </c>
      <c r="Q76" s="28">
        <v>0.26526</v>
      </c>
      <c r="R76" s="28">
        <v>160.582357</v>
      </c>
      <c r="S76" s="28">
        <v>100</v>
      </c>
      <c r="T76" s="28">
        <v>0.95</v>
      </c>
      <c r="U76" t="s">
        <v>18</v>
      </c>
    </row>
    <row r="77" spans="1:21" x14ac:dyDescent="0.25">
      <c r="A77" t="s">
        <v>34</v>
      </c>
      <c r="B77">
        <v>300</v>
      </c>
      <c r="C77">
        <v>105</v>
      </c>
      <c r="D77">
        <v>4</v>
      </c>
      <c r="E77" s="28">
        <v>0.15887100000000001</v>
      </c>
      <c r="F77" s="28">
        <v>94.333299999999994</v>
      </c>
      <c r="G77" s="28">
        <v>90.666700000000006</v>
      </c>
      <c r="H77" s="28">
        <v>0.96113143502877574</v>
      </c>
      <c r="I77" s="28">
        <v>65.073499999999996</v>
      </c>
      <c r="J77" s="28">
        <v>34.926499999999997</v>
      </c>
      <c r="K77" s="28">
        <v>85.714299999999994</v>
      </c>
      <c r="L77" s="28">
        <v>85</v>
      </c>
      <c r="M77" s="28">
        <v>100</v>
      </c>
      <c r="N77" s="28">
        <v>200.26768999999999</v>
      </c>
      <c r="O77" s="28">
        <v>107.5</v>
      </c>
      <c r="P77" s="28">
        <v>92.5</v>
      </c>
      <c r="Q77" s="28">
        <v>0.26768999999999998</v>
      </c>
      <c r="R77" s="28">
        <v>162.86074199999999</v>
      </c>
      <c r="S77" s="28">
        <v>100</v>
      </c>
      <c r="T77" s="28">
        <v>0.95</v>
      </c>
      <c r="U77" t="s">
        <v>18</v>
      </c>
    </row>
    <row r="78" spans="1:21" x14ac:dyDescent="0.25">
      <c r="A78" t="s">
        <v>34</v>
      </c>
      <c r="B78">
        <v>300</v>
      </c>
      <c r="C78">
        <v>105</v>
      </c>
      <c r="D78">
        <v>4</v>
      </c>
      <c r="E78" s="28">
        <v>0.15516199999999999</v>
      </c>
      <c r="F78" s="28">
        <v>94.333299999999994</v>
      </c>
      <c r="G78" s="28">
        <v>90.666700000000006</v>
      </c>
      <c r="H78" s="28">
        <v>0.96113143502877574</v>
      </c>
      <c r="I78" s="28">
        <v>65.441199999999995</v>
      </c>
      <c r="J78" s="28">
        <v>34.558799999999998</v>
      </c>
      <c r="K78" s="28">
        <v>85.714299999999994</v>
      </c>
      <c r="L78" s="28">
        <v>85</v>
      </c>
      <c r="M78" s="28">
        <v>100</v>
      </c>
      <c r="N78" s="28">
        <v>200.46861000000001</v>
      </c>
      <c r="O78" s="28">
        <v>107.5</v>
      </c>
      <c r="P78" s="28">
        <v>92.7</v>
      </c>
      <c r="Q78" s="28">
        <v>0.26861000000000002</v>
      </c>
      <c r="R78" s="28">
        <v>162.417383</v>
      </c>
      <c r="S78" s="28">
        <v>100</v>
      </c>
      <c r="T78" s="28">
        <v>0.95</v>
      </c>
      <c r="U78" t="s">
        <v>18</v>
      </c>
    </row>
    <row r="79" spans="1:21" x14ac:dyDescent="0.25">
      <c r="A79" t="s">
        <v>34</v>
      </c>
      <c r="B79">
        <v>300</v>
      </c>
      <c r="C79">
        <v>105</v>
      </c>
      <c r="D79">
        <v>4</v>
      </c>
      <c r="E79" s="28">
        <v>0.157469</v>
      </c>
      <c r="F79" s="28">
        <v>94.333299999999994</v>
      </c>
      <c r="G79" s="28">
        <v>90.333299999999994</v>
      </c>
      <c r="H79" s="28">
        <v>0.95759715816154001</v>
      </c>
      <c r="I79" s="28">
        <v>65.313699999999997</v>
      </c>
      <c r="J79" s="28">
        <v>34.686300000000003</v>
      </c>
      <c r="K79" s="28">
        <v>83.8095</v>
      </c>
      <c r="L79" s="28">
        <v>83</v>
      </c>
      <c r="M79" s="28">
        <v>100</v>
      </c>
      <c r="N79" s="28">
        <v>201.76714999999999</v>
      </c>
      <c r="O79" s="28">
        <v>107.5</v>
      </c>
      <c r="P79" s="28">
        <v>94</v>
      </c>
      <c r="Q79" s="28">
        <v>0.26715</v>
      </c>
      <c r="R79" s="28">
        <v>163.36287999999999</v>
      </c>
      <c r="S79" s="28">
        <v>100</v>
      </c>
      <c r="T79" s="28">
        <v>0.95</v>
      </c>
      <c r="U79" t="s">
        <v>18</v>
      </c>
    </row>
    <row r="80" spans="1:21" x14ac:dyDescent="0.25">
      <c r="A80" t="s">
        <v>34</v>
      </c>
      <c r="B80">
        <v>300</v>
      </c>
      <c r="C80">
        <v>105</v>
      </c>
      <c r="D80">
        <v>4</v>
      </c>
      <c r="E80" s="28">
        <v>0.156606</v>
      </c>
      <c r="F80" s="28">
        <v>94.333299999999994</v>
      </c>
      <c r="G80" s="28">
        <v>90.666700000000006</v>
      </c>
      <c r="H80" s="28">
        <v>0.96113143502877574</v>
      </c>
      <c r="I80" s="28">
        <v>65.808800000000005</v>
      </c>
      <c r="J80" s="28">
        <v>34.191200000000002</v>
      </c>
      <c r="K80" s="28">
        <v>83.8095</v>
      </c>
      <c r="L80" s="28">
        <v>83</v>
      </c>
      <c r="M80" s="28">
        <v>100</v>
      </c>
      <c r="N80" s="28">
        <v>202.06691000000001</v>
      </c>
      <c r="O80" s="28">
        <v>107.5</v>
      </c>
      <c r="P80" s="28">
        <v>94.3</v>
      </c>
      <c r="Q80" s="28">
        <v>0.26690999999999998</v>
      </c>
      <c r="R80" s="28">
        <v>162.46439799999999</v>
      </c>
      <c r="S80" s="28">
        <v>100</v>
      </c>
      <c r="T80" s="28">
        <v>0.95</v>
      </c>
      <c r="U80" t="s">
        <v>18</v>
      </c>
    </row>
    <row r="81" spans="1:21" x14ac:dyDescent="0.25">
      <c r="A81" t="s">
        <v>34</v>
      </c>
      <c r="B81">
        <v>300</v>
      </c>
      <c r="C81">
        <v>105</v>
      </c>
      <c r="D81">
        <v>4</v>
      </c>
      <c r="E81" s="28">
        <v>0.14899200000000001</v>
      </c>
      <c r="F81" s="28">
        <v>94.333299999999994</v>
      </c>
      <c r="G81" s="28">
        <v>90.333299999999994</v>
      </c>
      <c r="H81" s="28">
        <v>0.95759715816154001</v>
      </c>
      <c r="I81" s="28">
        <v>65.682699999999997</v>
      </c>
      <c r="J81" s="28">
        <v>34.317300000000003</v>
      </c>
      <c r="K81" s="28">
        <v>84.761899999999997</v>
      </c>
      <c r="L81" s="28">
        <v>84</v>
      </c>
      <c r="M81" s="28">
        <v>100</v>
      </c>
      <c r="N81" s="28">
        <v>202.16655</v>
      </c>
      <c r="O81" s="28">
        <v>107.5</v>
      </c>
      <c r="P81" s="28">
        <v>94.4</v>
      </c>
      <c r="Q81" s="28">
        <v>0.26655000000000001</v>
      </c>
      <c r="R81" s="28">
        <v>162.671763</v>
      </c>
      <c r="S81" s="28">
        <v>100</v>
      </c>
      <c r="T81" s="28">
        <v>0.95</v>
      </c>
      <c r="U81" t="s">
        <v>18</v>
      </c>
    </row>
    <row r="82" spans="1:21" x14ac:dyDescent="0.25">
      <c r="A82" t="s">
        <v>34</v>
      </c>
      <c r="B82">
        <v>300</v>
      </c>
      <c r="C82">
        <v>105</v>
      </c>
      <c r="D82">
        <v>4</v>
      </c>
      <c r="E82" s="28">
        <v>0.16215599999999999</v>
      </c>
      <c r="F82" s="28">
        <v>94.333299999999994</v>
      </c>
      <c r="G82" s="28">
        <v>90.666700000000006</v>
      </c>
      <c r="H82" s="28">
        <v>0.96113143502877574</v>
      </c>
      <c r="I82" s="28">
        <v>66.176500000000004</v>
      </c>
      <c r="J82" s="28">
        <v>33.823500000000003</v>
      </c>
      <c r="K82" s="28">
        <v>83.8095</v>
      </c>
      <c r="L82" s="28">
        <v>83</v>
      </c>
      <c r="M82" s="28">
        <v>100</v>
      </c>
      <c r="N82" s="28">
        <v>202.86623</v>
      </c>
      <c r="O82" s="28">
        <v>107.5</v>
      </c>
      <c r="P82" s="28">
        <v>95.1</v>
      </c>
      <c r="Q82" s="28">
        <v>0.26623000000000002</v>
      </c>
      <c r="R82" s="28">
        <v>161.20986300000001</v>
      </c>
      <c r="S82" s="28">
        <v>100</v>
      </c>
      <c r="T82" s="28">
        <v>0.95</v>
      </c>
      <c r="U82" t="s">
        <v>18</v>
      </c>
    </row>
    <row r="83" spans="1:21" x14ac:dyDescent="0.25">
      <c r="A83" t="s">
        <v>34</v>
      </c>
      <c r="B83">
        <v>300</v>
      </c>
      <c r="C83">
        <v>105</v>
      </c>
      <c r="D83">
        <v>4</v>
      </c>
      <c r="E83" s="28">
        <v>0.149281</v>
      </c>
      <c r="F83" s="28">
        <v>94.333299999999994</v>
      </c>
      <c r="G83" s="28">
        <v>90.333299999999994</v>
      </c>
      <c r="H83" s="28">
        <v>0.95759715816154001</v>
      </c>
      <c r="I83" s="28">
        <v>64.944599999999994</v>
      </c>
      <c r="J83" s="28">
        <v>35.055399999999999</v>
      </c>
      <c r="K83" s="28">
        <v>82.857100000000003</v>
      </c>
      <c r="L83" s="28">
        <v>82</v>
      </c>
      <c r="M83" s="28">
        <v>100</v>
      </c>
      <c r="N83" s="28">
        <v>203.76437000000001</v>
      </c>
      <c r="O83" s="28">
        <v>107.5</v>
      </c>
      <c r="P83" s="28">
        <v>96</v>
      </c>
      <c r="Q83" s="28">
        <v>0.26436999999999999</v>
      </c>
      <c r="R83" s="28">
        <v>164.24891199999999</v>
      </c>
      <c r="S83" s="28">
        <v>100</v>
      </c>
      <c r="T83" s="28">
        <v>0.95</v>
      </c>
      <c r="U83" t="s">
        <v>18</v>
      </c>
    </row>
    <row r="84" spans="1:21" x14ac:dyDescent="0.25">
      <c r="A84" t="s">
        <v>34</v>
      </c>
      <c r="B84">
        <v>300</v>
      </c>
      <c r="C84">
        <v>105</v>
      </c>
      <c r="D84">
        <v>4</v>
      </c>
      <c r="E84" s="28">
        <v>0.14494599999999999</v>
      </c>
      <c r="F84" s="28">
        <v>94.333299999999994</v>
      </c>
      <c r="G84" s="28">
        <v>90.333299999999994</v>
      </c>
      <c r="H84" s="28">
        <v>0.95759715816154001</v>
      </c>
      <c r="I84" s="28">
        <v>65.313699999999997</v>
      </c>
      <c r="J84" s="28">
        <v>34.686300000000003</v>
      </c>
      <c r="K84" s="28">
        <v>83.8095</v>
      </c>
      <c r="L84" s="28">
        <v>83</v>
      </c>
      <c r="M84" s="28">
        <v>100</v>
      </c>
      <c r="N84" s="28">
        <v>204.36662000000001</v>
      </c>
      <c r="O84" s="28">
        <v>107.5</v>
      </c>
      <c r="P84" s="28">
        <v>96.6</v>
      </c>
      <c r="Q84" s="28">
        <v>0.26662000000000002</v>
      </c>
      <c r="R84" s="28">
        <v>163.56216800000001</v>
      </c>
      <c r="S84" s="28">
        <v>100</v>
      </c>
      <c r="T84" s="28">
        <v>0.95</v>
      </c>
      <c r="U84" t="s">
        <v>18</v>
      </c>
    </row>
    <row r="85" spans="1:21" x14ac:dyDescent="0.25">
      <c r="A85" t="s">
        <v>34</v>
      </c>
      <c r="B85">
        <v>300</v>
      </c>
      <c r="C85">
        <v>105</v>
      </c>
      <c r="D85">
        <v>4</v>
      </c>
      <c r="E85" s="28">
        <v>0.15687699999999999</v>
      </c>
      <c r="F85" s="28">
        <v>94.333299999999994</v>
      </c>
      <c r="G85" s="28">
        <v>90.333299999999994</v>
      </c>
      <c r="H85" s="28">
        <v>0.95759715816154001</v>
      </c>
      <c r="I85" s="28">
        <v>66.051699999999997</v>
      </c>
      <c r="J85" s="28">
        <v>33.948300000000003</v>
      </c>
      <c r="K85" s="28">
        <v>80</v>
      </c>
      <c r="L85" s="28">
        <v>79</v>
      </c>
      <c r="M85" s="28">
        <v>100</v>
      </c>
      <c r="N85" s="28">
        <v>204.56199000000001</v>
      </c>
      <c r="O85" s="28">
        <v>107.5</v>
      </c>
      <c r="P85" s="28">
        <v>96.8</v>
      </c>
      <c r="Q85" s="28">
        <v>0.26199</v>
      </c>
      <c r="R85" s="28">
        <v>162.46223900000001</v>
      </c>
      <c r="S85" s="28">
        <v>100</v>
      </c>
      <c r="T85" s="28">
        <v>0.95</v>
      </c>
      <c r="U85" t="s">
        <v>18</v>
      </c>
    </row>
    <row r="86" spans="1:21" x14ac:dyDescent="0.25">
      <c r="A86" t="s">
        <v>34</v>
      </c>
      <c r="B86">
        <v>300</v>
      </c>
      <c r="C86">
        <v>105</v>
      </c>
      <c r="D86">
        <v>4</v>
      </c>
      <c r="E86" s="28">
        <v>0.15418399999999999</v>
      </c>
      <c r="F86" s="28">
        <v>94.333299999999994</v>
      </c>
      <c r="G86" s="28">
        <v>90.333299999999994</v>
      </c>
      <c r="H86" s="28">
        <v>0.95759715816154001</v>
      </c>
      <c r="I86" s="28">
        <v>67.158699999999996</v>
      </c>
      <c r="J86" s="28">
        <v>32.841299999999997</v>
      </c>
      <c r="K86" s="28">
        <v>82.857100000000003</v>
      </c>
      <c r="L86" s="28">
        <v>82</v>
      </c>
      <c r="M86" s="28">
        <v>100</v>
      </c>
      <c r="N86" s="28">
        <v>204.76541</v>
      </c>
      <c r="O86" s="28">
        <v>107.5</v>
      </c>
      <c r="P86" s="28">
        <v>97</v>
      </c>
      <c r="Q86" s="28">
        <v>0.26540999999999998</v>
      </c>
      <c r="R86" s="28">
        <v>160.62875399999999</v>
      </c>
      <c r="S86" s="28">
        <v>100</v>
      </c>
      <c r="T86" s="28">
        <v>0.95</v>
      </c>
      <c r="U86" t="s">
        <v>18</v>
      </c>
    </row>
    <row r="87" spans="1:21" x14ac:dyDescent="0.25">
      <c r="A87" t="s">
        <v>34</v>
      </c>
      <c r="B87">
        <v>300</v>
      </c>
      <c r="C87">
        <v>105</v>
      </c>
      <c r="D87">
        <v>4</v>
      </c>
      <c r="E87" s="28">
        <v>0.15876599999999999</v>
      </c>
      <c r="F87" s="28">
        <v>94.333299999999994</v>
      </c>
      <c r="G87" s="28">
        <v>90.333299999999994</v>
      </c>
      <c r="H87" s="28">
        <v>0.95759715816154001</v>
      </c>
      <c r="I87" s="28">
        <v>66.420699999999997</v>
      </c>
      <c r="J87" s="28">
        <v>33.579300000000003</v>
      </c>
      <c r="K87" s="28">
        <v>82.857100000000003</v>
      </c>
      <c r="L87" s="28">
        <v>82</v>
      </c>
      <c r="M87" s="28">
        <v>100</v>
      </c>
      <c r="N87" s="28">
        <v>204.96440999999999</v>
      </c>
      <c r="O87" s="28">
        <v>107.5</v>
      </c>
      <c r="P87" s="28">
        <v>97.2</v>
      </c>
      <c r="Q87" s="28">
        <v>0.26440999999999998</v>
      </c>
      <c r="R87" s="28">
        <v>161.45268799999999</v>
      </c>
      <c r="S87" s="28">
        <v>100</v>
      </c>
      <c r="T87" s="28">
        <v>0.95</v>
      </c>
      <c r="U87" t="s">
        <v>18</v>
      </c>
    </row>
    <row r="88" spans="1:21" x14ac:dyDescent="0.25">
      <c r="A88" t="s">
        <v>34</v>
      </c>
      <c r="B88">
        <v>300</v>
      </c>
      <c r="C88">
        <v>105</v>
      </c>
      <c r="D88">
        <v>4</v>
      </c>
      <c r="E88" s="28">
        <v>0.152224</v>
      </c>
      <c r="F88" s="28">
        <v>94.333299999999994</v>
      </c>
      <c r="G88" s="28">
        <v>90.333299999999994</v>
      </c>
      <c r="H88" s="28">
        <v>0.95759715816154001</v>
      </c>
      <c r="I88" s="28">
        <v>65.313699999999997</v>
      </c>
      <c r="J88" s="28">
        <v>34.686300000000003</v>
      </c>
      <c r="K88" s="28">
        <v>80</v>
      </c>
      <c r="L88" s="28">
        <v>79</v>
      </c>
      <c r="M88" s="28">
        <v>100</v>
      </c>
      <c r="N88" s="28">
        <v>205.16247000000001</v>
      </c>
      <c r="O88" s="28">
        <v>107.5</v>
      </c>
      <c r="P88" s="28">
        <v>97.4</v>
      </c>
      <c r="Q88" s="28">
        <v>0.26246999999999998</v>
      </c>
      <c r="R88" s="28">
        <v>162.74930699999999</v>
      </c>
      <c r="S88" s="28">
        <v>100</v>
      </c>
      <c r="T88" s="28">
        <v>0.95</v>
      </c>
      <c r="U88" t="s">
        <v>18</v>
      </c>
    </row>
    <row r="89" spans="1:21" x14ac:dyDescent="0.25">
      <c r="A89" t="s">
        <v>34</v>
      </c>
      <c r="B89">
        <v>300</v>
      </c>
      <c r="C89">
        <v>105</v>
      </c>
      <c r="D89">
        <v>4</v>
      </c>
      <c r="E89" s="28">
        <v>0.15747900000000001</v>
      </c>
      <c r="F89" s="28">
        <v>94.333299999999994</v>
      </c>
      <c r="G89" s="28">
        <v>90.333299999999994</v>
      </c>
      <c r="H89" s="28">
        <v>0.95759715816154001</v>
      </c>
      <c r="I89" s="28">
        <v>65.682699999999997</v>
      </c>
      <c r="J89" s="28">
        <v>34.317300000000003</v>
      </c>
      <c r="K89" s="28">
        <v>81.904799999999994</v>
      </c>
      <c r="L89" s="28">
        <v>81</v>
      </c>
      <c r="M89" s="28">
        <v>100</v>
      </c>
      <c r="N89" s="28">
        <v>205.16453000000001</v>
      </c>
      <c r="O89" s="28">
        <v>107.5</v>
      </c>
      <c r="P89" s="28">
        <v>97.4</v>
      </c>
      <c r="Q89" s="28">
        <v>0.26452999999999999</v>
      </c>
      <c r="R89" s="28">
        <v>162.42225300000001</v>
      </c>
      <c r="S89" s="28">
        <v>100</v>
      </c>
      <c r="T89" s="28">
        <v>0.95</v>
      </c>
      <c r="U89" t="s">
        <v>18</v>
      </c>
    </row>
    <row r="90" spans="1:21" x14ac:dyDescent="0.25">
      <c r="A90" t="s">
        <v>34</v>
      </c>
      <c r="B90">
        <v>300</v>
      </c>
      <c r="C90">
        <v>105</v>
      </c>
      <c r="D90">
        <v>4</v>
      </c>
      <c r="E90" s="28">
        <v>0.15174399999999999</v>
      </c>
      <c r="F90" s="28">
        <v>94.333299999999994</v>
      </c>
      <c r="G90" s="28">
        <v>90.333299999999994</v>
      </c>
      <c r="H90" s="28">
        <v>0.95759715816154001</v>
      </c>
      <c r="I90" s="28">
        <v>65.682699999999997</v>
      </c>
      <c r="J90" s="28">
        <v>34.317300000000003</v>
      </c>
      <c r="K90" s="28">
        <v>82.857100000000003</v>
      </c>
      <c r="L90" s="28">
        <v>82</v>
      </c>
      <c r="M90" s="28">
        <v>100</v>
      </c>
      <c r="N90" s="28">
        <v>205.16485</v>
      </c>
      <c r="O90" s="28">
        <v>107.5</v>
      </c>
      <c r="P90" s="28">
        <v>97.4</v>
      </c>
      <c r="Q90" s="28">
        <v>0.26484999999999997</v>
      </c>
      <c r="R90" s="28">
        <v>162.16563500000001</v>
      </c>
      <c r="S90" s="28">
        <v>100</v>
      </c>
      <c r="T90" s="28">
        <v>0.95</v>
      </c>
      <c r="U90" t="s">
        <v>18</v>
      </c>
    </row>
    <row r="91" spans="1:21" x14ac:dyDescent="0.25">
      <c r="A91" t="s">
        <v>34</v>
      </c>
      <c r="B91">
        <v>300</v>
      </c>
      <c r="C91">
        <v>105</v>
      </c>
      <c r="D91">
        <v>4</v>
      </c>
      <c r="E91" s="28">
        <v>0.15115700000000001</v>
      </c>
      <c r="F91" s="28">
        <v>94.333299999999994</v>
      </c>
      <c r="G91" s="28">
        <v>90.333299999999994</v>
      </c>
      <c r="H91" s="28">
        <v>0.95759715816154001</v>
      </c>
      <c r="I91" s="28">
        <v>65.313699999999997</v>
      </c>
      <c r="J91" s="28">
        <v>34.686300000000003</v>
      </c>
      <c r="K91" s="28">
        <v>82.857100000000003</v>
      </c>
      <c r="L91" s="28">
        <v>82</v>
      </c>
      <c r="M91" s="28">
        <v>100</v>
      </c>
      <c r="N91" s="28">
        <v>205.16497000000001</v>
      </c>
      <c r="O91" s="28">
        <v>107.5</v>
      </c>
      <c r="P91" s="28">
        <v>97.4</v>
      </c>
      <c r="Q91" s="28">
        <v>0.26496999999999998</v>
      </c>
      <c r="R91" s="28">
        <v>162.54396199999999</v>
      </c>
      <c r="S91" s="28">
        <v>100</v>
      </c>
      <c r="T91" s="28">
        <v>0.95</v>
      </c>
      <c r="U91" t="s">
        <v>18</v>
      </c>
    </row>
    <row r="92" spans="1:21" x14ac:dyDescent="0.25">
      <c r="A92" t="s">
        <v>34</v>
      </c>
      <c r="B92">
        <v>300</v>
      </c>
      <c r="C92">
        <v>105</v>
      </c>
      <c r="D92">
        <v>4</v>
      </c>
      <c r="E92" s="28">
        <v>0.16514400000000001</v>
      </c>
      <c r="F92" s="28">
        <v>94.333299999999994</v>
      </c>
      <c r="G92" s="28">
        <v>90.333299999999994</v>
      </c>
      <c r="H92" s="28">
        <v>0.95759715816154001</v>
      </c>
      <c r="I92" s="28">
        <v>66.420699999999997</v>
      </c>
      <c r="J92" s="28">
        <v>33.579300000000003</v>
      </c>
      <c r="K92" s="28">
        <v>83.8095</v>
      </c>
      <c r="L92" s="28">
        <v>83</v>
      </c>
      <c r="M92" s="28">
        <v>100</v>
      </c>
      <c r="N92" s="28">
        <v>205.16634999999999</v>
      </c>
      <c r="O92" s="28">
        <v>107.5</v>
      </c>
      <c r="P92" s="28">
        <v>97.4</v>
      </c>
      <c r="Q92" s="28">
        <v>0.26634999999999998</v>
      </c>
      <c r="R92" s="28">
        <v>161.22723400000001</v>
      </c>
      <c r="S92" s="28">
        <v>100</v>
      </c>
      <c r="T92" s="28">
        <v>0.95</v>
      </c>
      <c r="U92" t="s">
        <v>18</v>
      </c>
    </row>
    <row r="93" spans="1:21" x14ac:dyDescent="0.25">
      <c r="A93" t="s">
        <v>34</v>
      </c>
      <c r="B93">
        <v>300</v>
      </c>
      <c r="C93">
        <v>105</v>
      </c>
      <c r="D93">
        <v>4</v>
      </c>
      <c r="E93" s="28">
        <v>0.157281</v>
      </c>
      <c r="F93" s="28">
        <v>94.333299999999994</v>
      </c>
      <c r="G93" s="28">
        <v>90.333299999999994</v>
      </c>
      <c r="H93" s="28">
        <v>0.95759715816154001</v>
      </c>
      <c r="I93" s="28">
        <v>65.682699999999997</v>
      </c>
      <c r="J93" s="28">
        <v>34.317300000000003</v>
      </c>
      <c r="K93" s="28">
        <v>81.904799999999994</v>
      </c>
      <c r="L93" s="28">
        <v>81</v>
      </c>
      <c r="M93" s="28">
        <v>100</v>
      </c>
      <c r="N93" s="28">
        <v>205.36453</v>
      </c>
      <c r="O93" s="28">
        <v>107.5</v>
      </c>
      <c r="P93" s="28">
        <v>97.6</v>
      </c>
      <c r="Q93" s="28">
        <v>0.26452999999999999</v>
      </c>
      <c r="R93" s="28">
        <v>161.79356999999999</v>
      </c>
      <c r="S93" s="28">
        <v>100</v>
      </c>
      <c r="T93" s="28">
        <v>0.95</v>
      </c>
      <c r="U93" t="s">
        <v>18</v>
      </c>
    </row>
    <row r="94" spans="1:21" x14ac:dyDescent="0.25">
      <c r="A94" t="s">
        <v>34</v>
      </c>
      <c r="B94">
        <v>300</v>
      </c>
      <c r="C94">
        <v>105</v>
      </c>
      <c r="D94">
        <v>4</v>
      </c>
      <c r="E94" s="28">
        <v>0.15779199999999999</v>
      </c>
      <c r="F94" s="28">
        <v>94.333299999999994</v>
      </c>
      <c r="G94" s="28">
        <v>90.333299999999994</v>
      </c>
      <c r="H94" s="28">
        <v>0.95759715816154001</v>
      </c>
      <c r="I94" s="28">
        <v>65.313699999999997</v>
      </c>
      <c r="J94" s="28">
        <v>34.686300000000003</v>
      </c>
      <c r="K94" s="28">
        <v>82.857100000000003</v>
      </c>
      <c r="L94" s="28">
        <v>82</v>
      </c>
      <c r="M94" s="28">
        <v>100</v>
      </c>
      <c r="N94" s="28">
        <v>205.36493999999999</v>
      </c>
      <c r="O94" s="28">
        <v>107.5</v>
      </c>
      <c r="P94" s="28">
        <v>97.6</v>
      </c>
      <c r="Q94" s="28">
        <v>0.26494000000000001</v>
      </c>
      <c r="R94" s="28">
        <v>162.60153299999999</v>
      </c>
      <c r="S94" s="28">
        <v>100</v>
      </c>
      <c r="T94" s="28">
        <v>0.95</v>
      </c>
      <c r="U94" t="s">
        <v>18</v>
      </c>
    </row>
    <row r="95" spans="1:21" x14ac:dyDescent="0.25">
      <c r="A95" t="s">
        <v>34</v>
      </c>
      <c r="B95">
        <v>300</v>
      </c>
      <c r="C95">
        <v>105</v>
      </c>
      <c r="D95">
        <v>4</v>
      </c>
      <c r="E95" s="28">
        <v>0.16081799999999999</v>
      </c>
      <c r="F95" s="28">
        <v>94.333299999999994</v>
      </c>
      <c r="G95" s="28">
        <v>90.333299999999994</v>
      </c>
      <c r="H95" s="28">
        <v>0.95759715816154001</v>
      </c>
      <c r="I95" s="28">
        <v>66.051699999999997</v>
      </c>
      <c r="J95" s="28">
        <v>33.948300000000003</v>
      </c>
      <c r="K95" s="28">
        <v>82.857100000000003</v>
      </c>
      <c r="L95" s="28">
        <v>82</v>
      </c>
      <c r="M95" s="28">
        <v>100</v>
      </c>
      <c r="N95" s="28">
        <v>205.56478000000001</v>
      </c>
      <c r="O95" s="28">
        <v>107.5</v>
      </c>
      <c r="P95" s="28">
        <v>97.8</v>
      </c>
      <c r="Q95" s="28">
        <v>0.26478000000000002</v>
      </c>
      <c r="R95" s="28">
        <v>161.78527199999999</v>
      </c>
      <c r="S95" s="28">
        <v>100</v>
      </c>
      <c r="T95" s="28">
        <v>0.95</v>
      </c>
      <c r="U95" t="s">
        <v>18</v>
      </c>
    </row>
    <row r="96" spans="1:21" x14ac:dyDescent="0.25">
      <c r="A96" t="s">
        <v>34</v>
      </c>
      <c r="B96">
        <v>300</v>
      </c>
      <c r="C96">
        <v>105</v>
      </c>
      <c r="D96">
        <v>4</v>
      </c>
      <c r="E96" s="28">
        <v>0.16569</v>
      </c>
      <c r="F96" s="28">
        <v>94.333299999999994</v>
      </c>
      <c r="G96" s="28">
        <v>90.333299999999994</v>
      </c>
      <c r="H96" s="28">
        <v>0.95759715816154001</v>
      </c>
      <c r="I96" s="28">
        <v>64.944599999999994</v>
      </c>
      <c r="J96" s="28">
        <v>35.055399999999999</v>
      </c>
      <c r="K96" s="28">
        <v>82.857100000000003</v>
      </c>
      <c r="L96" s="28">
        <v>82</v>
      </c>
      <c r="M96" s="28">
        <v>100</v>
      </c>
      <c r="N96" s="28">
        <v>205.56514000000001</v>
      </c>
      <c r="O96" s="28">
        <v>107.5</v>
      </c>
      <c r="P96" s="28">
        <v>97.8</v>
      </c>
      <c r="Q96" s="28">
        <v>0.26513999999999999</v>
      </c>
      <c r="R96" s="28">
        <v>162.92075199999999</v>
      </c>
      <c r="S96" s="28">
        <v>100</v>
      </c>
      <c r="T96" s="28">
        <v>0.95</v>
      </c>
      <c r="U96" t="s">
        <v>18</v>
      </c>
    </row>
    <row r="97" spans="1:21" x14ac:dyDescent="0.25">
      <c r="A97" t="s">
        <v>34</v>
      </c>
      <c r="B97">
        <v>300</v>
      </c>
      <c r="C97">
        <v>105</v>
      </c>
      <c r="D97">
        <v>4</v>
      </c>
      <c r="E97" s="28">
        <v>0.15770500000000001</v>
      </c>
      <c r="F97" s="28">
        <v>94.333299999999994</v>
      </c>
      <c r="G97" s="28">
        <v>90.333299999999994</v>
      </c>
      <c r="H97" s="28">
        <v>0.95759715816154001</v>
      </c>
      <c r="I97" s="28">
        <v>65.313699999999997</v>
      </c>
      <c r="J97" s="28">
        <v>34.686300000000003</v>
      </c>
      <c r="K97" s="28">
        <v>80.952399999999997</v>
      </c>
      <c r="L97" s="28">
        <v>80</v>
      </c>
      <c r="M97" s="28">
        <v>100</v>
      </c>
      <c r="N97" s="28">
        <v>207.16255000000001</v>
      </c>
      <c r="O97" s="28">
        <v>107.5</v>
      </c>
      <c r="P97" s="28">
        <v>99.4</v>
      </c>
      <c r="Q97" s="28">
        <v>0.26255000000000001</v>
      </c>
      <c r="R97" s="28">
        <v>163.149812</v>
      </c>
      <c r="S97" s="28">
        <v>100</v>
      </c>
      <c r="T97" s="28">
        <v>0.95</v>
      </c>
      <c r="U97" t="s">
        <v>18</v>
      </c>
    </row>
    <row r="98" spans="1:21" x14ac:dyDescent="0.25">
      <c r="A98" t="s">
        <v>34</v>
      </c>
      <c r="B98">
        <v>300</v>
      </c>
      <c r="C98">
        <v>105</v>
      </c>
      <c r="D98">
        <v>4</v>
      </c>
      <c r="E98" s="28">
        <v>0.14991199999999999</v>
      </c>
      <c r="F98" s="28">
        <v>94.333299999999994</v>
      </c>
      <c r="G98" s="28">
        <v>90.333299999999994</v>
      </c>
      <c r="H98" s="28">
        <v>0.95759715816154001</v>
      </c>
      <c r="I98" s="28">
        <v>65.313699999999997</v>
      </c>
      <c r="J98" s="28">
        <v>34.686300000000003</v>
      </c>
      <c r="K98" s="28">
        <v>81.904799999999994</v>
      </c>
      <c r="L98" s="28">
        <v>81</v>
      </c>
      <c r="M98" s="28">
        <v>100</v>
      </c>
      <c r="N98" s="28">
        <v>207.16356999999999</v>
      </c>
      <c r="O98" s="28">
        <v>107.5</v>
      </c>
      <c r="P98" s="28">
        <v>99.4</v>
      </c>
      <c r="Q98" s="28">
        <v>0.26357000000000003</v>
      </c>
      <c r="R98" s="28">
        <v>162.87396699999999</v>
      </c>
      <c r="S98" s="28">
        <v>100</v>
      </c>
      <c r="T98" s="28">
        <v>0.95</v>
      </c>
      <c r="U98" t="s">
        <v>18</v>
      </c>
    </row>
    <row r="99" spans="1:21" x14ac:dyDescent="0.25">
      <c r="A99" t="s">
        <v>34</v>
      </c>
      <c r="B99">
        <v>300</v>
      </c>
      <c r="C99">
        <v>105</v>
      </c>
      <c r="D99">
        <v>4</v>
      </c>
      <c r="E99" s="28">
        <v>0.15728300000000001</v>
      </c>
      <c r="F99" s="28">
        <v>94.333299999999994</v>
      </c>
      <c r="G99" s="28">
        <v>90.333299999999994</v>
      </c>
      <c r="H99" s="28">
        <v>0.95759715816154001</v>
      </c>
      <c r="I99" s="28">
        <v>65.313699999999997</v>
      </c>
      <c r="J99" s="28">
        <v>34.686300000000003</v>
      </c>
      <c r="K99" s="28">
        <v>81.904799999999994</v>
      </c>
      <c r="L99" s="28">
        <v>81</v>
      </c>
      <c r="M99" s="28">
        <v>100</v>
      </c>
      <c r="N99" s="28">
        <v>207.16441</v>
      </c>
      <c r="O99" s="28">
        <v>107.5</v>
      </c>
      <c r="P99" s="28">
        <v>99.4</v>
      </c>
      <c r="Q99" s="28">
        <v>0.26440999999999998</v>
      </c>
      <c r="R99" s="28">
        <v>162.755921</v>
      </c>
      <c r="S99" s="28">
        <v>100</v>
      </c>
      <c r="T99" s="28">
        <v>0.95</v>
      </c>
      <c r="U99" t="s">
        <v>18</v>
      </c>
    </row>
    <row r="100" spans="1:21" x14ac:dyDescent="0.25">
      <c r="A100" t="s">
        <v>34</v>
      </c>
      <c r="B100">
        <v>300</v>
      </c>
      <c r="C100">
        <v>105</v>
      </c>
      <c r="D100">
        <v>4</v>
      </c>
      <c r="E100" s="28">
        <v>0.15239900000000001</v>
      </c>
      <c r="F100" s="28">
        <v>94.333299999999994</v>
      </c>
      <c r="G100" s="28">
        <v>90.333299999999994</v>
      </c>
      <c r="H100" s="28">
        <v>0.95759715816154001</v>
      </c>
      <c r="I100" s="28">
        <v>64.575599999999994</v>
      </c>
      <c r="J100" s="28">
        <v>35.424399999999999</v>
      </c>
      <c r="K100" s="28">
        <v>81.904799999999994</v>
      </c>
      <c r="L100" s="28">
        <v>81</v>
      </c>
      <c r="M100" s="28">
        <v>100</v>
      </c>
      <c r="N100" s="28">
        <v>207.16444000000001</v>
      </c>
      <c r="O100" s="28">
        <v>107.5</v>
      </c>
      <c r="P100" s="28">
        <v>99.4</v>
      </c>
      <c r="Q100" s="28">
        <v>0.26444000000000001</v>
      </c>
      <c r="R100" s="28">
        <v>163.94321400000001</v>
      </c>
      <c r="S100" s="28">
        <v>100</v>
      </c>
      <c r="T100" s="28">
        <v>0.95</v>
      </c>
      <c r="U100" t="s">
        <v>18</v>
      </c>
    </row>
    <row r="101" spans="1:21" x14ac:dyDescent="0.25">
      <c r="A101" t="s">
        <v>34</v>
      </c>
      <c r="B101">
        <v>300</v>
      </c>
      <c r="C101">
        <v>105</v>
      </c>
      <c r="D101">
        <v>4</v>
      </c>
      <c r="E101" s="28">
        <v>0.15281900000000001</v>
      </c>
      <c r="F101" s="28">
        <v>94.333299999999994</v>
      </c>
      <c r="G101" s="28">
        <v>90.333299999999994</v>
      </c>
      <c r="H101" s="28">
        <v>0.95759715816154001</v>
      </c>
      <c r="I101" s="28">
        <v>64.944599999999994</v>
      </c>
      <c r="J101" s="28">
        <v>35.055399999999999</v>
      </c>
      <c r="K101" s="28">
        <v>81.904799999999994</v>
      </c>
      <c r="L101" s="28">
        <v>81</v>
      </c>
      <c r="M101" s="28">
        <v>100</v>
      </c>
      <c r="N101" s="28">
        <v>207.56412</v>
      </c>
      <c r="O101" s="28">
        <v>107.5</v>
      </c>
      <c r="P101" s="28">
        <v>99.8</v>
      </c>
      <c r="Q101" s="28">
        <v>0.26412000000000002</v>
      </c>
      <c r="R101" s="28">
        <v>163.34304499999999</v>
      </c>
      <c r="S101" s="28">
        <v>100</v>
      </c>
      <c r="T101" s="28">
        <v>0.95</v>
      </c>
      <c r="U101" t="s">
        <v>18</v>
      </c>
    </row>
    <row r="102" spans="1:21" x14ac:dyDescent="0.25">
      <c r="A102" t="s">
        <v>34</v>
      </c>
      <c r="B102">
        <v>300</v>
      </c>
      <c r="C102">
        <v>105</v>
      </c>
      <c r="D102">
        <v>4</v>
      </c>
      <c r="E102" s="28">
        <v>0.15434899999999999</v>
      </c>
      <c r="F102" s="28">
        <v>94.333299999999994</v>
      </c>
      <c r="G102" s="28">
        <v>90.333299999999994</v>
      </c>
      <c r="H102" s="28">
        <v>0.95759715816154001</v>
      </c>
      <c r="I102" s="28">
        <v>66.789699999999996</v>
      </c>
      <c r="J102" s="28">
        <v>33.210299999999997</v>
      </c>
      <c r="K102" s="28">
        <v>82.857100000000003</v>
      </c>
      <c r="L102" s="28">
        <v>82</v>
      </c>
      <c r="M102" s="28">
        <v>100</v>
      </c>
      <c r="N102" s="28">
        <v>207.76521</v>
      </c>
      <c r="O102" s="28">
        <v>107.5</v>
      </c>
      <c r="P102" s="28">
        <v>100</v>
      </c>
      <c r="Q102" s="28">
        <v>0.26521</v>
      </c>
      <c r="R102" s="28">
        <v>160.59457</v>
      </c>
      <c r="S102" s="28">
        <v>100</v>
      </c>
      <c r="T102" s="28">
        <v>0.95</v>
      </c>
      <c r="U102" t="s">
        <v>18</v>
      </c>
    </row>
    <row r="103" spans="1:21" x14ac:dyDescent="0.25">
      <c r="A103" t="s">
        <v>34</v>
      </c>
      <c r="B103">
        <v>300</v>
      </c>
      <c r="C103">
        <v>105</v>
      </c>
      <c r="D103">
        <v>4</v>
      </c>
      <c r="E103" s="28">
        <v>0.15537899999999999</v>
      </c>
      <c r="F103" s="28">
        <v>94.333299999999994</v>
      </c>
      <c r="G103" s="28">
        <v>90.333299999999994</v>
      </c>
      <c r="H103" s="28">
        <v>0.95759715816154001</v>
      </c>
      <c r="I103" s="28">
        <v>65.682699999999997</v>
      </c>
      <c r="J103" s="28">
        <v>34.317300000000003</v>
      </c>
      <c r="K103" s="28">
        <v>81.904799999999994</v>
      </c>
      <c r="L103" s="28">
        <v>81</v>
      </c>
      <c r="M103" s="28">
        <v>100</v>
      </c>
      <c r="N103" s="28">
        <v>209.76384999999999</v>
      </c>
      <c r="O103" s="28">
        <v>107.5</v>
      </c>
      <c r="P103" s="28">
        <v>102</v>
      </c>
      <c r="Q103" s="28">
        <v>0.26384999999999997</v>
      </c>
      <c r="R103" s="28">
        <v>162.48203100000001</v>
      </c>
      <c r="S103" s="28">
        <v>100</v>
      </c>
      <c r="T103" s="28">
        <v>0.95</v>
      </c>
      <c r="U103" t="s">
        <v>18</v>
      </c>
    </row>
    <row r="104" spans="1:21" x14ac:dyDescent="0.25">
      <c r="A104" t="s">
        <v>34</v>
      </c>
      <c r="B104">
        <v>300</v>
      </c>
      <c r="C104">
        <v>105</v>
      </c>
      <c r="D104">
        <v>4</v>
      </c>
      <c r="E104" s="28">
        <v>0.15458</v>
      </c>
      <c r="F104" s="28">
        <v>94.333299999999994</v>
      </c>
      <c r="G104" s="28">
        <v>90.333299999999994</v>
      </c>
      <c r="H104" s="28">
        <v>0.95759715816154001</v>
      </c>
      <c r="I104" s="28">
        <v>66.789699999999996</v>
      </c>
      <c r="J104" s="28">
        <v>33.210299999999997</v>
      </c>
      <c r="K104" s="28">
        <v>85.714299999999994</v>
      </c>
      <c r="L104" s="28">
        <v>85</v>
      </c>
      <c r="M104" s="28">
        <v>100</v>
      </c>
      <c r="N104" s="28">
        <v>209.76757000000001</v>
      </c>
      <c r="O104" s="28">
        <v>107.5</v>
      </c>
      <c r="P104" s="28">
        <v>102</v>
      </c>
      <c r="Q104" s="28">
        <v>0.26756999999999997</v>
      </c>
      <c r="R104" s="28">
        <v>160.99267499999999</v>
      </c>
      <c r="S104" s="28">
        <v>100</v>
      </c>
      <c r="T104" s="28">
        <v>0.95</v>
      </c>
      <c r="U104" t="s">
        <v>18</v>
      </c>
    </row>
    <row r="105" spans="1:21" x14ac:dyDescent="0.25">
      <c r="A105" t="s">
        <v>34</v>
      </c>
      <c r="B105">
        <v>300</v>
      </c>
      <c r="C105">
        <v>105</v>
      </c>
      <c r="D105">
        <v>4</v>
      </c>
      <c r="E105" s="28">
        <v>0.156138</v>
      </c>
      <c r="F105" s="28">
        <v>94.333299999999994</v>
      </c>
      <c r="G105" s="28">
        <v>90</v>
      </c>
      <c r="H105" s="28">
        <v>0.95406394136535033</v>
      </c>
      <c r="I105" s="28">
        <v>65.925899999999999</v>
      </c>
      <c r="J105" s="28">
        <v>34.074100000000001</v>
      </c>
      <c r="K105" s="28">
        <v>86.666700000000006</v>
      </c>
      <c r="L105" s="28">
        <v>86</v>
      </c>
      <c r="M105" s="28">
        <v>100</v>
      </c>
      <c r="N105" s="28">
        <v>212.06854000000001</v>
      </c>
      <c r="O105" s="28">
        <v>107.5</v>
      </c>
      <c r="P105" s="28">
        <v>104.3</v>
      </c>
      <c r="Q105" s="28">
        <v>0.26854</v>
      </c>
      <c r="R105" s="28">
        <v>162.78086200000001</v>
      </c>
      <c r="S105" s="28">
        <v>100</v>
      </c>
      <c r="T105" s="28">
        <v>0.95</v>
      </c>
      <c r="U105" t="s">
        <v>18</v>
      </c>
    </row>
    <row r="106" spans="1:21" x14ac:dyDescent="0.25">
      <c r="A106" t="s">
        <v>34</v>
      </c>
      <c r="B106">
        <v>300</v>
      </c>
      <c r="C106">
        <v>105</v>
      </c>
      <c r="D106">
        <v>4</v>
      </c>
      <c r="E106" s="28">
        <v>0.156525</v>
      </c>
      <c r="F106" s="28">
        <v>94.333299999999994</v>
      </c>
      <c r="G106" s="28">
        <v>90</v>
      </c>
      <c r="H106" s="28">
        <v>0.95406394136535033</v>
      </c>
      <c r="I106" s="28">
        <v>65.555599999999998</v>
      </c>
      <c r="J106" s="28">
        <v>34.444400000000002</v>
      </c>
      <c r="K106" s="28">
        <v>81.904799999999994</v>
      </c>
      <c r="L106" s="28">
        <v>81</v>
      </c>
      <c r="M106" s="28">
        <v>100</v>
      </c>
      <c r="N106" s="28">
        <v>212.26381000000001</v>
      </c>
      <c r="O106" s="28">
        <v>107.5</v>
      </c>
      <c r="P106" s="28">
        <v>104.5</v>
      </c>
      <c r="Q106" s="28">
        <v>0.26380999999999999</v>
      </c>
      <c r="R106" s="28">
        <v>162.72572500000001</v>
      </c>
      <c r="S106" s="28">
        <v>100</v>
      </c>
      <c r="T106" s="28">
        <v>0.95</v>
      </c>
      <c r="U106" t="s">
        <v>18</v>
      </c>
    </row>
    <row r="107" spans="1:21" x14ac:dyDescent="0.25">
      <c r="A107" t="s">
        <v>34</v>
      </c>
      <c r="B107">
        <v>300</v>
      </c>
      <c r="C107">
        <v>105</v>
      </c>
      <c r="D107">
        <v>4</v>
      </c>
      <c r="E107" s="28">
        <v>0.153727</v>
      </c>
      <c r="F107" s="28">
        <v>94.333299999999994</v>
      </c>
      <c r="G107" s="28">
        <v>90</v>
      </c>
      <c r="H107" s="28">
        <v>0.95406394136535033</v>
      </c>
      <c r="I107" s="28">
        <v>65.555599999999998</v>
      </c>
      <c r="J107" s="28">
        <v>34.444400000000002</v>
      </c>
      <c r="K107" s="28">
        <v>83.8095</v>
      </c>
      <c r="L107" s="28">
        <v>83</v>
      </c>
      <c r="M107" s="28">
        <v>100</v>
      </c>
      <c r="N107" s="28">
        <v>212.26570000000001</v>
      </c>
      <c r="O107" s="28">
        <v>107.5</v>
      </c>
      <c r="P107" s="28">
        <v>104.5</v>
      </c>
      <c r="Q107" s="28">
        <v>0.26569999999999999</v>
      </c>
      <c r="R107" s="28">
        <v>163.12644700000001</v>
      </c>
      <c r="S107" s="28">
        <v>100</v>
      </c>
      <c r="T107" s="28">
        <v>0.95</v>
      </c>
      <c r="U107" t="s">
        <v>18</v>
      </c>
    </row>
    <row r="108" spans="1:21" x14ac:dyDescent="0.25">
      <c r="A108" t="s">
        <v>34</v>
      </c>
      <c r="B108">
        <v>300</v>
      </c>
      <c r="C108">
        <v>105</v>
      </c>
      <c r="D108">
        <v>4</v>
      </c>
      <c r="E108" s="28">
        <v>0.15307599999999999</v>
      </c>
      <c r="F108" s="28">
        <v>94.333299999999994</v>
      </c>
      <c r="G108" s="28">
        <v>90</v>
      </c>
      <c r="H108" s="28">
        <v>0.95406394136535033</v>
      </c>
      <c r="I108" s="28">
        <v>64.814800000000005</v>
      </c>
      <c r="J108" s="28">
        <v>35.185200000000002</v>
      </c>
      <c r="K108" s="28">
        <v>81.904799999999994</v>
      </c>
      <c r="L108" s="28">
        <v>81</v>
      </c>
      <c r="M108" s="28">
        <v>100</v>
      </c>
      <c r="N108" s="28">
        <v>212.66464999999999</v>
      </c>
      <c r="O108" s="28">
        <v>107.5</v>
      </c>
      <c r="P108" s="28">
        <v>104.9</v>
      </c>
      <c r="Q108" s="28">
        <v>0.26465</v>
      </c>
      <c r="R108" s="28">
        <v>163.20841100000001</v>
      </c>
      <c r="S108" s="28">
        <v>100</v>
      </c>
      <c r="T108" s="28">
        <v>0.95</v>
      </c>
      <c r="U108" t="s">
        <v>18</v>
      </c>
    </row>
    <row r="109" spans="1:21" x14ac:dyDescent="0.25">
      <c r="A109" t="s">
        <v>34</v>
      </c>
      <c r="B109">
        <v>300</v>
      </c>
      <c r="C109">
        <v>105</v>
      </c>
      <c r="D109">
        <v>4</v>
      </c>
      <c r="E109" s="28">
        <v>0.16466</v>
      </c>
      <c r="F109" s="28">
        <v>94.333299999999994</v>
      </c>
      <c r="G109" s="28">
        <v>90</v>
      </c>
      <c r="H109" s="28">
        <v>0.95406394136535033</v>
      </c>
      <c r="I109" s="28">
        <v>65.925899999999999</v>
      </c>
      <c r="J109" s="28">
        <v>34.074100000000001</v>
      </c>
      <c r="K109" s="28">
        <v>81.904799999999994</v>
      </c>
      <c r="L109" s="28">
        <v>81</v>
      </c>
      <c r="M109" s="28">
        <v>100</v>
      </c>
      <c r="N109" s="28">
        <v>212.66489000000001</v>
      </c>
      <c r="O109" s="28">
        <v>107.5</v>
      </c>
      <c r="P109" s="28">
        <v>104.9</v>
      </c>
      <c r="Q109" s="28">
        <v>0.26489000000000001</v>
      </c>
      <c r="R109" s="28">
        <v>161.49512000000001</v>
      </c>
      <c r="S109" s="28">
        <v>100</v>
      </c>
      <c r="T109" s="28">
        <v>0.95</v>
      </c>
      <c r="U109" t="s">
        <v>18</v>
      </c>
    </row>
    <row r="110" spans="1:21" x14ac:dyDescent="0.25">
      <c r="A110" t="s">
        <v>34</v>
      </c>
      <c r="B110">
        <v>300</v>
      </c>
      <c r="C110">
        <v>105</v>
      </c>
      <c r="D110">
        <v>4</v>
      </c>
      <c r="E110" s="28">
        <v>0.15929399999999999</v>
      </c>
      <c r="F110" s="28">
        <v>94.333299999999994</v>
      </c>
      <c r="G110" s="28">
        <v>90</v>
      </c>
      <c r="H110" s="28">
        <v>0.95406394136535033</v>
      </c>
      <c r="I110" s="28">
        <v>65.925899999999999</v>
      </c>
      <c r="J110" s="28">
        <v>34.074100000000001</v>
      </c>
      <c r="K110" s="28">
        <v>84.761899999999997</v>
      </c>
      <c r="L110" s="28">
        <v>84</v>
      </c>
      <c r="M110" s="28">
        <v>100</v>
      </c>
      <c r="N110" s="28">
        <v>212.86654999999999</v>
      </c>
      <c r="O110" s="28">
        <v>107.5</v>
      </c>
      <c r="P110" s="28">
        <v>105.1</v>
      </c>
      <c r="Q110" s="28">
        <v>0.26655000000000001</v>
      </c>
      <c r="R110" s="28">
        <v>162.20495399999999</v>
      </c>
      <c r="S110" s="28">
        <v>100</v>
      </c>
      <c r="T110" s="28">
        <v>0.95</v>
      </c>
      <c r="U110" t="s">
        <v>18</v>
      </c>
    </row>
    <row r="111" spans="1:21" x14ac:dyDescent="0.25">
      <c r="A111" t="s">
        <v>34</v>
      </c>
      <c r="B111">
        <v>300</v>
      </c>
      <c r="C111">
        <v>105</v>
      </c>
      <c r="D111">
        <v>4</v>
      </c>
      <c r="E111" s="28">
        <v>0.14879899999999999</v>
      </c>
      <c r="F111" s="28">
        <v>94.333299999999994</v>
      </c>
      <c r="G111" s="28">
        <v>90</v>
      </c>
      <c r="H111" s="28">
        <v>0.95406394136535033</v>
      </c>
      <c r="I111" s="28">
        <v>65.185199999999995</v>
      </c>
      <c r="J111" s="28">
        <v>34.814799999999998</v>
      </c>
      <c r="K111" s="28">
        <v>83.8095</v>
      </c>
      <c r="L111" s="28">
        <v>83</v>
      </c>
      <c r="M111" s="28">
        <v>100</v>
      </c>
      <c r="N111" s="28">
        <v>214.66575</v>
      </c>
      <c r="O111" s="28">
        <v>107.5</v>
      </c>
      <c r="P111" s="28">
        <v>106.9</v>
      </c>
      <c r="Q111" s="28">
        <v>0.26574999999999999</v>
      </c>
      <c r="R111" s="28">
        <v>163.252004</v>
      </c>
      <c r="S111" s="28">
        <v>100</v>
      </c>
      <c r="T111" s="28">
        <v>0.95</v>
      </c>
      <c r="U111" t="s">
        <v>18</v>
      </c>
    </row>
    <row r="112" spans="1:21" x14ac:dyDescent="0.25">
      <c r="A112" t="s">
        <v>34</v>
      </c>
      <c r="B112">
        <v>300</v>
      </c>
      <c r="C112">
        <v>105</v>
      </c>
      <c r="D112">
        <v>4</v>
      </c>
      <c r="E112" s="28">
        <v>0.15432499999999999</v>
      </c>
      <c r="F112" s="28">
        <v>94.333299999999994</v>
      </c>
      <c r="G112" s="28">
        <v>90</v>
      </c>
      <c r="H112" s="28">
        <v>0.95406394136535033</v>
      </c>
      <c r="I112" s="28">
        <v>64.814800000000005</v>
      </c>
      <c r="J112" s="28">
        <v>35.185200000000002</v>
      </c>
      <c r="K112" s="28">
        <v>82.857100000000003</v>
      </c>
      <c r="L112" s="28">
        <v>82</v>
      </c>
      <c r="M112" s="28">
        <v>100</v>
      </c>
      <c r="N112" s="28">
        <v>214.86492999999999</v>
      </c>
      <c r="O112" s="28">
        <v>107.5</v>
      </c>
      <c r="P112" s="28">
        <v>107.1</v>
      </c>
      <c r="Q112" s="28">
        <v>0.26493</v>
      </c>
      <c r="R112" s="28">
        <v>163.40571700000001</v>
      </c>
      <c r="S112" s="28">
        <v>100</v>
      </c>
      <c r="T112" s="28">
        <v>0.95</v>
      </c>
      <c r="U112" t="s">
        <v>18</v>
      </c>
    </row>
    <row r="113" spans="1:21" x14ac:dyDescent="0.25">
      <c r="A113" t="s">
        <v>34</v>
      </c>
      <c r="B113">
        <v>300</v>
      </c>
      <c r="C113">
        <v>105</v>
      </c>
      <c r="D113">
        <v>4</v>
      </c>
      <c r="E113" s="28">
        <v>0.14649499999999999</v>
      </c>
      <c r="F113" s="28">
        <v>94.333299999999994</v>
      </c>
      <c r="G113" s="28">
        <v>90</v>
      </c>
      <c r="H113" s="28">
        <v>0.95406394136535033</v>
      </c>
      <c r="I113" s="28">
        <v>64.814800000000005</v>
      </c>
      <c r="J113" s="28">
        <v>35.185200000000002</v>
      </c>
      <c r="K113" s="28">
        <v>81.904799999999994</v>
      </c>
      <c r="L113" s="28">
        <v>81</v>
      </c>
      <c r="M113" s="28">
        <v>100</v>
      </c>
      <c r="N113" s="28">
        <v>215.66385</v>
      </c>
      <c r="O113" s="28">
        <v>107.5</v>
      </c>
      <c r="P113" s="28">
        <v>107.9</v>
      </c>
      <c r="Q113" s="28">
        <v>0.26384999999999997</v>
      </c>
      <c r="R113" s="28">
        <v>162.86452800000001</v>
      </c>
      <c r="S113" s="28">
        <v>100</v>
      </c>
      <c r="T113" s="28">
        <v>0.95</v>
      </c>
      <c r="U113" t="s">
        <v>18</v>
      </c>
    </row>
    <row r="114" spans="1:21" x14ac:dyDescent="0.25">
      <c r="A114" t="s">
        <v>34</v>
      </c>
      <c r="B114">
        <v>300</v>
      </c>
      <c r="C114">
        <v>105</v>
      </c>
      <c r="D114">
        <v>4</v>
      </c>
      <c r="E114" s="28">
        <v>0.162796</v>
      </c>
      <c r="F114" s="28">
        <v>94.333299999999994</v>
      </c>
      <c r="G114" s="28">
        <v>89.666700000000006</v>
      </c>
      <c r="H114" s="28">
        <v>0.95053072456916077</v>
      </c>
      <c r="I114" s="28">
        <v>70.260199999999998</v>
      </c>
      <c r="J114" s="28">
        <v>29.739799999999999</v>
      </c>
      <c r="K114" s="28">
        <v>86.666700000000006</v>
      </c>
      <c r="L114" s="28">
        <v>86</v>
      </c>
      <c r="M114" s="28">
        <v>100</v>
      </c>
      <c r="N114" s="28">
        <v>217.96836999999999</v>
      </c>
      <c r="O114" s="28">
        <v>107.5</v>
      </c>
      <c r="P114" s="28">
        <v>110.2</v>
      </c>
      <c r="Q114" s="28">
        <v>0.26837</v>
      </c>
      <c r="R114" s="28">
        <v>155.852814</v>
      </c>
      <c r="S114" s="28">
        <v>100</v>
      </c>
      <c r="T114" s="28">
        <v>0.95</v>
      </c>
      <c r="U114" t="s">
        <v>18</v>
      </c>
    </row>
    <row r="115" spans="1:21" x14ac:dyDescent="0.25">
      <c r="A115" t="s">
        <v>34</v>
      </c>
      <c r="B115">
        <v>300</v>
      </c>
      <c r="C115">
        <v>105</v>
      </c>
      <c r="D115">
        <v>4</v>
      </c>
      <c r="E115" s="28">
        <v>0.15579399999999999</v>
      </c>
      <c r="F115" s="28">
        <v>94.333299999999994</v>
      </c>
      <c r="G115" s="28">
        <v>89.666700000000006</v>
      </c>
      <c r="H115" s="28">
        <v>0.95053072456916077</v>
      </c>
      <c r="I115" s="28">
        <v>64.683999999999997</v>
      </c>
      <c r="J115" s="28">
        <v>35.316000000000003</v>
      </c>
      <c r="K115" s="28">
        <v>81.904799999999994</v>
      </c>
      <c r="L115" s="28">
        <v>81</v>
      </c>
      <c r="M115" s="28">
        <v>100</v>
      </c>
      <c r="N115" s="28">
        <v>219.76444000000001</v>
      </c>
      <c r="O115" s="28">
        <v>107.5</v>
      </c>
      <c r="P115" s="28">
        <v>112</v>
      </c>
      <c r="Q115" s="28">
        <v>0.26444000000000001</v>
      </c>
      <c r="R115" s="28">
        <v>163.661744</v>
      </c>
      <c r="S115" s="28">
        <v>100</v>
      </c>
      <c r="T115" s="28">
        <v>0.95</v>
      </c>
      <c r="U115" t="s">
        <v>18</v>
      </c>
    </row>
    <row r="116" spans="1:21" x14ac:dyDescent="0.25">
      <c r="A116" t="s">
        <v>34</v>
      </c>
      <c r="B116">
        <v>300</v>
      </c>
      <c r="C116">
        <v>105</v>
      </c>
      <c r="D116">
        <v>4</v>
      </c>
      <c r="E116" s="28">
        <v>0.15415000000000001</v>
      </c>
      <c r="F116" s="28">
        <v>94.333299999999994</v>
      </c>
      <c r="G116" s="28">
        <v>89.666700000000006</v>
      </c>
      <c r="H116" s="28">
        <v>0.95053072456916077</v>
      </c>
      <c r="I116" s="28">
        <v>67.286199999999994</v>
      </c>
      <c r="J116" s="28">
        <v>32.713799999999999</v>
      </c>
      <c r="K116" s="28">
        <v>85.714299999999994</v>
      </c>
      <c r="L116" s="28">
        <v>85</v>
      </c>
      <c r="M116" s="28">
        <v>100</v>
      </c>
      <c r="N116" s="28">
        <v>222.96780999999999</v>
      </c>
      <c r="O116" s="28">
        <v>107.5</v>
      </c>
      <c r="P116" s="28">
        <v>115.2</v>
      </c>
      <c r="Q116" s="28">
        <v>0.26780999999999999</v>
      </c>
      <c r="R116" s="28">
        <v>159.91273000000001</v>
      </c>
      <c r="S116" s="28">
        <v>100</v>
      </c>
      <c r="T116" s="28">
        <v>0.95</v>
      </c>
      <c r="U116" t="s">
        <v>18</v>
      </c>
    </row>
    <row r="117" spans="1:21" x14ac:dyDescent="0.25">
      <c r="A117" t="s">
        <v>34</v>
      </c>
      <c r="B117">
        <v>300</v>
      </c>
      <c r="C117">
        <v>105</v>
      </c>
      <c r="D117">
        <v>4</v>
      </c>
      <c r="E117" s="28">
        <v>0.15434899999999999</v>
      </c>
      <c r="F117" s="28">
        <v>94.333299999999994</v>
      </c>
      <c r="G117" s="28">
        <v>89.666700000000006</v>
      </c>
      <c r="H117" s="28">
        <v>0.95053072456916077</v>
      </c>
      <c r="I117" s="28">
        <v>66.171000000000006</v>
      </c>
      <c r="J117" s="28">
        <v>33.829000000000001</v>
      </c>
      <c r="K117" s="28">
        <v>80.952399999999997</v>
      </c>
      <c r="L117" s="28">
        <v>80</v>
      </c>
      <c r="M117" s="28">
        <v>100</v>
      </c>
      <c r="N117" s="28">
        <v>224.76295999999999</v>
      </c>
      <c r="O117" s="28">
        <v>107.5</v>
      </c>
      <c r="P117" s="28">
        <v>117</v>
      </c>
      <c r="Q117" s="28">
        <v>0.26296000000000003</v>
      </c>
      <c r="R117" s="28">
        <v>161.412746</v>
      </c>
      <c r="S117" s="28">
        <v>100</v>
      </c>
      <c r="T117" s="28">
        <v>0.95</v>
      </c>
      <c r="U117" t="s">
        <v>18</v>
      </c>
    </row>
    <row r="118" spans="1:21" x14ac:dyDescent="0.25">
      <c r="A118" t="s">
        <v>34</v>
      </c>
      <c r="B118">
        <v>300</v>
      </c>
      <c r="C118">
        <v>105</v>
      </c>
      <c r="D118">
        <v>4</v>
      </c>
      <c r="E118" s="28">
        <v>0.15801000000000001</v>
      </c>
      <c r="F118" s="28">
        <v>94.333299999999994</v>
      </c>
      <c r="G118" s="28">
        <v>89</v>
      </c>
      <c r="H118" s="28">
        <v>0.94346323090573536</v>
      </c>
      <c r="I118" s="28">
        <v>65.543099999999995</v>
      </c>
      <c r="J118" s="28">
        <v>34.456899999999997</v>
      </c>
      <c r="K118" s="28">
        <v>81.904799999999994</v>
      </c>
      <c r="L118" s="28">
        <v>81</v>
      </c>
      <c r="M118" s="28">
        <v>100</v>
      </c>
      <c r="N118" s="28">
        <v>234.96417</v>
      </c>
      <c r="O118" s="28">
        <v>107.5</v>
      </c>
      <c r="P118" s="28">
        <v>127.2</v>
      </c>
      <c r="Q118" s="28">
        <v>0.26417000000000002</v>
      </c>
      <c r="R118" s="28">
        <v>162.45932199999999</v>
      </c>
      <c r="S118" s="28">
        <v>100</v>
      </c>
      <c r="T118" s="28">
        <v>0.95</v>
      </c>
      <c r="U118" t="s">
        <v>18</v>
      </c>
    </row>
    <row r="119" spans="1:21" x14ac:dyDescent="0.25">
      <c r="A119" t="s">
        <v>34</v>
      </c>
      <c r="B119">
        <v>300</v>
      </c>
      <c r="C119">
        <v>105</v>
      </c>
      <c r="D119">
        <v>4</v>
      </c>
      <c r="E119" s="28">
        <v>0.15465999999999999</v>
      </c>
      <c r="F119" s="28">
        <v>94.333299999999994</v>
      </c>
      <c r="G119" s="28">
        <v>89</v>
      </c>
      <c r="H119" s="28">
        <v>0.94346323090573536</v>
      </c>
      <c r="I119" s="28">
        <v>65.917599999999993</v>
      </c>
      <c r="J119" s="28">
        <v>34.0824</v>
      </c>
      <c r="K119" s="28">
        <v>81.904799999999994</v>
      </c>
      <c r="L119" s="28">
        <v>81</v>
      </c>
      <c r="M119" s="28">
        <v>100</v>
      </c>
      <c r="N119" s="28">
        <v>237.76364000000001</v>
      </c>
      <c r="O119" s="28">
        <v>107.5</v>
      </c>
      <c r="P119" s="28">
        <v>130</v>
      </c>
      <c r="Q119" s="28">
        <v>0.26363999999999999</v>
      </c>
      <c r="R119" s="28">
        <v>161.85945899999999</v>
      </c>
      <c r="S119" s="28">
        <v>100</v>
      </c>
      <c r="T119" s="28">
        <v>0.95</v>
      </c>
      <c r="U119" t="s">
        <v>18</v>
      </c>
    </row>
    <row r="120" spans="1:21" x14ac:dyDescent="0.25">
      <c r="A120" t="s">
        <v>34</v>
      </c>
      <c r="B120">
        <v>300</v>
      </c>
      <c r="C120">
        <v>105</v>
      </c>
      <c r="D120">
        <v>4</v>
      </c>
      <c r="E120" s="28">
        <v>0.147313</v>
      </c>
      <c r="F120" s="28">
        <v>94.333299999999994</v>
      </c>
      <c r="G120" s="28">
        <v>86</v>
      </c>
      <c r="H120" s="28">
        <v>0.91166109952689034</v>
      </c>
      <c r="I120" s="28">
        <v>72.093000000000004</v>
      </c>
      <c r="J120" s="28">
        <v>27.907</v>
      </c>
      <c r="K120" s="28">
        <v>85.714299999999994</v>
      </c>
      <c r="L120" s="28">
        <v>85</v>
      </c>
      <c r="M120" s="28">
        <v>100</v>
      </c>
      <c r="N120" s="28">
        <v>302.86788000000001</v>
      </c>
      <c r="O120" s="28">
        <v>107.5</v>
      </c>
      <c r="P120" s="28">
        <v>195.1</v>
      </c>
      <c r="Q120" s="28">
        <v>0.26788000000000001</v>
      </c>
      <c r="R120" s="28">
        <v>152.45266000000001</v>
      </c>
      <c r="S120" s="28">
        <v>100</v>
      </c>
      <c r="T120" s="28">
        <v>0.95</v>
      </c>
      <c r="U120" t="s">
        <v>18</v>
      </c>
    </row>
    <row r="121" spans="1:21" x14ac:dyDescent="0.25">
      <c r="A121" t="s">
        <v>34</v>
      </c>
      <c r="B121">
        <v>300</v>
      </c>
      <c r="C121">
        <v>105</v>
      </c>
      <c r="D121">
        <v>4</v>
      </c>
      <c r="E121" s="28">
        <v>0.14735200000000001</v>
      </c>
      <c r="F121" s="28">
        <v>94.333299999999994</v>
      </c>
      <c r="G121" s="28">
        <v>85.666700000000006</v>
      </c>
      <c r="H121" s="28">
        <v>0.90812788273070078</v>
      </c>
      <c r="I121" s="28">
        <v>72.373500000000007</v>
      </c>
      <c r="J121" s="28">
        <v>27.6265</v>
      </c>
      <c r="K121" s="28">
        <v>87.619</v>
      </c>
      <c r="L121" s="28">
        <v>87</v>
      </c>
      <c r="M121" s="28">
        <v>100</v>
      </c>
      <c r="N121" s="28">
        <v>309.97043000000002</v>
      </c>
      <c r="O121" s="28">
        <v>107.5</v>
      </c>
      <c r="P121" s="28">
        <v>202.2</v>
      </c>
      <c r="Q121" s="28">
        <v>0.27043</v>
      </c>
      <c r="R121" s="28">
        <v>152.84167400000001</v>
      </c>
      <c r="S121" s="28">
        <v>100</v>
      </c>
      <c r="T121" s="28">
        <v>0.95</v>
      </c>
      <c r="U121" t="s">
        <v>18</v>
      </c>
    </row>
    <row r="122" spans="1:21" x14ac:dyDescent="0.25">
      <c r="A122" t="s">
        <v>33</v>
      </c>
      <c r="B122">
        <v>300</v>
      </c>
      <c r="C122">
        <v>105</v>
      </c>
      <c r="D122">
        <v>4</v>
      </c>
      <c r="E122" s="28">
        <v>0.11146200000000001</v>
      </c>
      <c r="F122" s="28">
        <v>94.333299999999994</v>
      </c>
      <c r="G122" s="28">
        <v>67.333299999999994</v>
      </c>
      <c r="H122" s="28">
        <v>0.71378081759039491</v>
      </c>
      <c r="I122" s="28">
        <v>97.524799999999999</v>
      </c>
      <c r="J122" s="28">
        <v>2.4752000000000001</v>
      </c>
      <c r="K122" s="28">
        <v>84.761899999999997</v>
      </c>
      <c r="L122" s="28">
        <v>84</v>
      </c>
      <c r="M122" s="28">
        <v>100</v>
      </c>
      <c r="N122" s="28">
        <v>699.06755999999996</v>
      </c>
      <c r="O122" s="28">
        <v>107.5</v>
      </c>
      <c r="P122" s="28">
        <v>591.29999999999995</v>
      </c>
      <c r="Q122" s="28">
        <v>0.26756000000000002</v>
      </c>
      <c r="R122" s="28">
        <v>122.468144</v>
      </c>
      <c r="S122" s="28">
        <v>100</v>
      </c>
      <c r="T122" s="28">
        <v>0.95</v>
      </c>
      <c r="U122" t="s">
        <v>17</v>
      </c>
    </row>
    <row r="123" spans="1:21" x14ac:dyDescent="0.25">
      <c r="A123" t="s">
        <v>33</v>
      </c>
      <c r="B123">
        <v>300</v>
      </c>
      <c r="C123">
        <v>105</v>
      </c>
      <c r="D123">
        <v>4</v>
      </c>
      <c r="E123" s="28">
        <v>0.113079</v>
      </c>
      <c r="F123" s="28">
        <v>94.333299999999994</v>
      </c>
      <c r="G123" s="28">
        <v>67.333299999999994</v>
      </c>
      <c r="H123" s="28">
        <v>0.71378081759039491</v>
      </c>
      <c r="I123" s="28">
        <v>97.524799999999999</v>
      </c>
      <c r="J123" s="28">
        <v>2.4752000000000001</v>
      </c>
      <c r="K123" s="28">
        <v>85.714299999999994</v>
      </c>
      <c r="L123" s="28">
        <v>85</v>
      </c>
      <c r="M123" s="28">
        <v>100</v>
      </c>
      <c r="N123" s="28">
        <v>699.06840999999997</v>
      </c>
      <c r="O123" s="28">
        <v>107.5</v>
      </c>
      <c r="P123" s="28">
        <v>591.29999999999995</v>
      </c>
      <c r="Q123" s="28">
        <v>0.26840999999999998</v>
      </c>
      <c r="R123" s="28">
        <v>122.59186099999999</v>
      </c>
      <c r="S123" s="28">
        <v>100</v>
      </c>
      <c r="T123" s="28">
        <v>0.95</v>
      </c>
      <c r="U123" t="s">
        <v>17</v>
      </c>
    </row>
    <row r="124" spans="1:21" x14ac:dyDescent="0.25">
      <c r="A124" t="s">
        <v>33</v>
      </c>
      <c r="B124">
        <v>300</v>
      </c>
      <c r="C124">
        <v>105</v>
      </c>
      <c r="D124">
        <v>4</v>
      </c>
      <c r="E124" s="28">
        <v>0.110426</v>
      </c>
      <c r="F124" s="28">
        <v>94.333299999999994</v>
      </c>
      <c r="G124" s="28">
        <v>67.333299999999994</v>
      </c>
      <c r="H124" s="28">
        <v>0.71378081759039491</v>
      </c>
      <c r="I124" s="28">
        <v>97.524799999999999</v>
      </c>
      <c r="J124" s="28">
        <v>2.4752000000000001</v>
      </c>
      <c r="K124" s="28">
        <v>86.666700000000006</v>
      </c>
      <c r="L124" s="28">
        <v>86</v>
      </c>
      <c r="M124" s="28">
        <v>100</v>
      </c>
      <c r="N124" s="28">
        <v>699.06925999999999</v>
      </c>
      <c r="O124" s="28">
        <v>107.5</v>
      </c>
      <c r="P124" s="28">
        <v>591.29999999999995</v>
      </c>
      <c r="Q124" s="28">
        <v>0.26926</v>
      </c>
      <c r="R124" s="28">
        <v>122.65163</v>
      </c>
      <c r="S124" s="28">
        <v>100</v>
      </c>
      <c r="T124" s="28">
        <v>0.95</v>
      </c>
      <c r="U124" t="s">
        <v>17</v>
      </c>
    </row>
    <row r="125" spans="1:21" x14ac:dyDescent="0.25">
      <c r="A125" t="s">
        <v>33</v>
      </c>
      <c r="B125">
        <v>300</v>
      </c>
      <c r="C125">
        <v>105</v>
      </c>
      <c r="D125">
        <v>4</v>
      </c>
      <c r="E125" s="28">
        <v>0.11459900000000001</v>
      </c>
      <c r="F125" s="28">
        <v>94.333299999999994</v>
      </c>
      <c r="G125" s="28">
        <v>67.333299999999994</v>
      </c>
      <c r="H125" s="28">
        <v>0.71378081759039491</v>
      </c>
      <c r="I125" s="28">
        <v>97.524799999999999</v>
      </c>
      <c r="J125" s="28">
        <v>2.4752000000000001</v>
      </c>
      <c r="K125" s="28">
        <v>86.666700000000006</v>
      </c>
      <c r="L125" s="28">
        <v>86</v>
      </c>
      <c r="M125" s="28">
        <v>100</v>
      </c>
      <c r="N125" s="28">
        <v>699.06925999999999</v>
      </c>
      <c r="O125" s="28">
        <v>107.5</v>
      </c>
      <c r="P125" s="28">
        <v>591.29999999999995</v>
      </c>
      <c r="Q125" s="28">
        <v>0.26926</v>
      </c>
      <c r="R125" s="28">
        <v>122.587903</v>
      </c>
      <c r="S125" s="28">
        <v>100</v>
      </c>
      <c r="T125" s="28">
        <v>0.95</v>
      </c>
      <c r="U125" t="s">
        <v>17</v>
      </c>
    </row>
    <row r="126" spans="1:21" x14ac:dyDescent="0.25">
      <c r="A126" t="s">
        <v>33</v>
      </c>
      <c r="B126">
        <v>300</v>
      </c>
      <c r="C126">
        <v>105</v>
      </c>
      <c r="D126">
        <v>4</v>
      </c>
      <c r="E126" s="28">
        <v>0.113008</v>
      </c>
      <c r="F126" s="28">
        <v>94.333299999999994</v>
      </c>
      <c r="G126" s="28">
        <v>67.333299999999994</v>
      </c>
      <c r="H126" s="28">
        <v>0.71378081759039491</v>
      </c>
      <c r="I126" s="28">
        <v>97.524799999999999</v>
      </c>
      <c r="J126" s="28">
        <v>2.4752000000000001</v>
      </c>
      <c r="K126" s="28">
        <v>86.666700000000006</v>
      </c>
      <c r="L126" s="28">
        <v>86</v>
      </c>
      <c r="M126" s="28">
        <v>100</v>
      </c>
      <c r="N126" s="28">
        <v>699.06925999999999</v>
      </c>
      <c r="O126" s="28">
        <v>107.5</v>
      </c>
      <c r="P126" s="28">
        <v>591.29999999999995</v>
      </c>
      <c r="Q126" s="28">
        <v>0.26926</v>
      </c>
      <c r="R126" s="28">
        <v>122.619846</v>
      </c>
      <c r="S126" s="28">
        <v>100</v>
      </c>
      <c r="T126" s="28">
        <v>0.95</v>
      </c>
      <c r="U126" t="s">
        <v>17</v>
      </c>
    </row>
    <row r="127" spans="1:21" x14ac:dyDescent="0.25">
      <c r="A127" t="s">
        <v>33</v>
      </c>
      <c r="B127">
        <v>300</v>
      </c>
      <c r="C127">
        <v>105</v>
      </c>
      <c r="D127">
        <v>4</v>
      </c>
      <c r="E127" s="28">
        <v>0.11169</v>
      </c>
      <c r="F127" s="28">
        <v>94.333299999999994</v>
      </c>
      <c r="G127" s="28">
        <v>67.333299999999994</v>
      </c>
      <c r="H127" s="28">
        <v>0.71378081759039491</v>
      </c>
      <c r="I127" s="28">
        <v>97.524799999999999</v>
      </c>
      <c r="J127" s="28">
        <v>2.4752000000000001</v>
      </c>
      <c r="K127" s="28">
        <v>86.666700000000006</v>
      </c>
      <c r="L127" s="28">
        <v>86</v>
      </c>
      <c r="M127" s="28">
        <v>100</v>
      </c>
      <c r="N127" s="28">
        <v>699.06925999999999</v>
      </c>
      <c r="O127" s="28">
        <v>107.5</v>
      </c>
      <c r="P127" s="28">
        <v>591.29999999999995</v>
      </c>
      <c r="Q127" s="28">
        <v>0.26926</v>
      </c>
      <c r="R127" s="28">
        <v>122.651579</v>
      </c>
      <c r="S127" s="28">
        <v>100</v>
      </c>
      <c r="T127" s="28">
        <v>0.95</v>
      </c>
      <c r="U127" t="s">
        <v>17</v>
      </c>
    </row>
    <row r="128" spans="1:21" x14ac:dyDescent="0.25">
      <c r="A128" t="s">
        <v>33</v>
      </c>
      <c r="B128">
        <v>300</v>
      </c>
      <c r="C128">
        <v>105</v>
      </c>
      <c r="D128">
        <v>4</v>
      </c>
      <c r="E128" s="28">
        <v>0.112361</v>
      </c>
      <c r="F128" s="28">
        <v>94.333299999999994</v>
      </c>
      <c r="G128" s="28">
        <v>67.333299999999994</v>
      </c>
      <c r="H128" s="28">
        <v>0.71378081759039491</v>
      </c>
      <c r="I128" s="28">
        <v>97.524799999999999</v>
      </c>
      <c r="J128" s="28">
        <v>2.4752000000000001</v>
      </c>
      <c r="K128" s="28">
        <v>86.666700000000006</v>
      </c>
      <c r="L128" s="28">
        <v>86</v>
      </c>
      <c r="M128" s="28">
        <v>100</v>
      </c>
      <c r="N128" s="28">
        <v>699.06925999999999</v>
      </c>
      <c r="O128" s="28">
        <v>107.5</v>
      </c>
      <c r="P128" s="28">
        <v>591.29999999999995</v>
      </c>
      <c r="Q128" s="28">
        <v>0.26926</v>
      </c>
      <c r="R128" s="28">
        <v>122.651703</v>
      </c>
      <c r="S128" s="28">
        <v>100</v>
      </c>
      <c r="T128" s="28">
        <v>0.95</v>
      </c>
      <c r="U128" t="s">
        <v>17</v>
      </c>
    </row>
    <row r="129" spans="1:21" x14ac:dyDescent="0.25">
      <c r="A129" t="s">
        <v>33</v>
      </c>
      <c r="B129">
        <v>300</v>
      </c>
      <c r="C129">
        <v>105</v>
      </c>
      <c r="D129">
        <v>4</v>
      </c>
      <c r="E129" s="28">
        <v>0.112529</v>
      </c>
      <c r="F129" s="28">
        <v>94.333299999999994</v>
      </c>
      <c r="G129" s="28">
        <v>67.333299999999994</v>
      </c>
      <c r="H129" s="28">
        <v>0.71378081759039491</v>
      </c>
      <c r="I129" s="28">
        <v>97.524799999999999</v>
      </c>
      <c r="J129" s="28">
        <v>2.4752000000000001</v>
      </c>
      <c r="K129" s="28">
        <v>86.666700000000006</v>
      </c>
      <c r="L129" s="28">
        <v>86</v>
      </c>
      <c r="M129" s="28">
        <v>100</v>
      </c>
      <c r="N129" s="28">
        <v>699.06993999999997</v>
      </c>
      <c r="O129" s="28">
        <v>107.5</v>
      </c>
      <c r="P129" s="28">
        <v>591.29999999999995</v>
      </c>
      <c r="Q129" s="28">
        <v>0.26994000000000001</v>
      </c>
      <c r="R129" s="28">
        <v>122.55988499999999</v>
      </c>
      <c r="S129" s="28">
        <v>100</v>
      </c>
      <c r="T129" s="28">
        <v>0.95</v>
      </c>
      <c r="U129" t="s">
        <v>17</v>
      </c>
    </row>
    <row r="130" spans="1:21" x14ac:dyDescent="0.25">
      <c r="A130" t="s">
        <v>33</v>
      </c>
      <c r="B130">
        <v>300</v>
      </c>
      <c r="C130">
        <v>105</v>
      </c>
      <c r="D130">
        <v>4</v>
      </c>
      <c r="E130" s="28">
        <v>0.114563</v>
      </c>
      <c r="F130" s="28">
        <v>94.333299999999994</v>
      </c>
      <c r="G130" s="28">
        <v>67.333299999999994</v>
      </c>
      <c r="H130" s="28">
        <v>0.71378081759039491</v>
      </c>
      <c r="I130" s="28">
        <v>97.524799999999999</v>
      </c>
      <c r="J130" s="28">
        <v>2.4752000000000001</v>
      </c>
      <c r="K130" s="28">
        <v>86.666700000000006</v>
      </c>
      <c r="L130" s="28">
        <v>86</v>
      </c>
      <c r="M130" s="28">
        <v>100</v>
      </c>
      <c r="N130" s="28">
        <v>699.06993999999997</v>
      </c>
      <c r="O130" s="28">
        <v>107.5</v>
      </c>
      <c r="P130" s="28">
        <v>591.29999999999995</v>
      </c>
      <c r="Q130" s="28">
        <v>0.26994000000000001</v>
      </c>
      <c r="R130" s="28">
        <v>122.592035</v>
      </c>
      <c r="S130" s="28">
        <v>100</v>
      </c>
      <c r="T130" s="28">
        <v>0.95</v>
      </c>
      <c r="U130" t="s">
        <v>17</v>
      </c>
    </row>
    <row r="131" spans="1:21" x14ac:dyDescent="0.25">
      <c r="A131" t="s">
        <v>33</v>
      </c>
      <c r="B131">
        <v>300</v>
      </c>
      <c r="C131">
        <v>105</v>
      </c>
      <c r="D131">
        <v>4</v>
      </c>
      <c r="E131" s="28">
        <v>0.11140700000000001</v>
      </c>
      <c r="F131" s="28">
        <v>94.333299999999994</v>
      </c>
      <c r="G131" s="28">
        <v>67.333299999999994</v>
      </c>
      <c r="H131" s="28">
        <v>0.71378081759039491</v>
      </c>
      <c r="I131" s="28">
        <v>97.524799999999999</v>
      </c>
      <c r="J131" s="28">
        <v>2.4752000000000001</v>
      </c>
      <c r="K131" s="28">
        <v>86.666700000000006</v>
      </c>
      <c r="L131" s="28">
        <v>86</v>
      </c>
      <c r="M131" s="28">
        <v>100</v>
      </c>
      <c r="N131" s="28">
        <v>699.06993999999997</v>
      </c>
      <c r="O131" s="28">
        <v>107.5</v>
      </c>
      <c r="P131" s="28">
        <v>591.29999999999995</v>
      </c>
      <c r="Q131" s="28">
        <v>0.26994000000000001</v>
      </c>
      <c r="R131" s="28">
        <v>122.59141200000001</v>
      </c>
      <c r="S131" s="28">
        <v>100</v>
      </c>
      <c r="T131" s="28">
        <v>0.95</v>
      </c>
      <c r="U131" t="s">
        <v>17</v>
      </c>
    </row>
    <row r="132" spans="1:21" x14ac:dyDescent="0.25">
      <c r="A132" t="s">
        <v>33</v>
      </c>
      <c r="B132">
        <v>300</v>
      </c>
      <c r="C132">
        <v>105</v>
      </c>
      <c r="D132">
        <v>4</v>
      </c>
      <c r="E132" s="28">
        <v>0.10918799999999999</v>
      </c>
      <c r="F132" s="28">
        <v>94.333299999999994</v>
      </c>
      <c r="G132" s="28">
        <v>67.333299999999994</v>
      </c>
      <c r="H132" s="28">
        <v>0.71378081759039491</v>
      </c>
      <c r="I132" s="28">
        <v>97.524799999999999</v>
      </c>
      <c r="J132" s="28">
        <v>2.4752000000000001</v>
      </c>
      <c r="K132" s="28">
        <v>87.619</v>
      </c>
      <c r="L132" s="28">
        <v>87</v>
      </c>
      <c r="M132" s="28">
        <v>100</v>
      </c>
      <c r="N132" s="28">
        <v>699.07011</v>
      </c>
      <c r="O132" s="28">
        <v>107.5</v>
      </c>
      <c r="P132" s="28">
        <v>591.29999999999995</v>
      </c>
      <c r="Q132" s="28">
        <v>0.27011000000000002</v>
      </c>
      <c r="R132" s="28">
        <v>122.647785</v>
      </c>
      <c r="S132" s="28">
        <v>100</v>
      </c>
      <c r="T132" s="28">
        <v>0.95</v>
      </c>
      <c r="U132" t="s">
        <v>17</v>
      </c>
    </row>
    <row r="133" spans="1:21" x14ac:dyDescent="0.25">
      <c r="A133" t="s">
        <v>33</v>
      </c>
      <c r="B133">
        <v>300</v>
      </c>
      <c r="C133">
        <v>105</v>
      </c>
      <c r="D133">
        <v>4</v>
      </c>
      <c r="E133" s="28">
        <v>0.113887</v>
      </c>
      <c r="F133" s="28">
        <v>94.333299999999994</v>
      </c>
      <c r="G133" s="28">
        <v>67.333299999999994</v>
      </c>
      <c r="H133" s="28">
        <v>0.71378081759039491</v>
      </c>
      <c r="I133" s="28">
        <v>97.524799999999999</v>
      </c>
      <c r="J133" s="28">
        <v>2.4752000000000001</v>
      </c>
      <c r="K133" s="28">
        <v>87.619</v>
      </c>
      <c r="L133" s="28">
        <v>87</v>
      </c>
      <c r="M133" s="28">
        <v>100</v>
      </c>
      <c r="N133" s="28">
        <v>699.07011</v>
      </c>
      <c r="O133" s="28">
        <v>107.5</v>
      </c>
      <c r="P133" s="28">
        <v>591.29999999999995</v>
      </c>
      <c r="Q133" s="28">
        <v>0.27011000000000002</v>
      </c>
      <c r="R133" s="28">
        <v>122.71148700000001</v>
      </c>
      <c r="S133" s="28">
        <v>100</v>
      </c>
      <c r="T133" s="28">
        <v>0.95</v>
      </c>
      <c r="U133" t="s">
        <v>17</v>
      </c>
    </row>
    <row r="134" spans="1:21" x14ac:dyDescent="0.25">
      <c r="A134" t="s">
        <v>33</v>
      </c>
      <c r="B134">
        <v>300</v>
      </c>
      <c r="C134">
        <v>105</v>
      </c>
      <c r="D134">
        <v>4</v>
      </c>
      <c r="E134" s="28">
        <v>0.111648</v>
      </c>
      <c r="F134" s="28">
        <v>94.333299999999994</v>
      </c>
      <c r="G134" s="28">
        <v>67.333299999999994</v>
      </c>
      <c r="H134" s="28">
        <v>0.71378081759039491</v>
      </c>
      <c r="I134" s="28">
        <v>97.524799999999999</v>
      </c>
      <c r="J134" s="28">
        <v>2.4752000000000001</v>
      </c>
      <c r="K134" s="28">
        <v>87.619</v>
      </c>
      <c r="L134" s="28">
        <v>87</v>
      </c>
      <c r="M134" s="28">
        <v>100</v>
      </c>
      <c r="N134" s="28">
        <v>699.07011</v>
      </c>
      <c r="O134" s="28">
        <v>107.5</v>
      </c>
      <c r="P134" s="28">
        <v>591.29999999999995</v>
      </c>
      <c r="Q134" s="28">
        <v>0.27011000000000002</v>
      </c>
      <c r="R134" s="28">
        <v>122.743281</v>
      </c>
      <c r="S134" s="28">
        <v>100</v>
      </c>
      <c r="T134" s="28">
        <v>0.95</v>
      </c>
      <c r="U134" t="s">
        <v>17</v>
      </c>
    </row>
    <row r="135" spans="1:21" x14ac:dyDescent="0.25">
      <c r="A135" t="s">
        <v>33</v>
      </c>
      <c r="B135">
        <v>300</v>
      </c>
      <c r="C135">
        <v>105</v>
      </c>
      <c r="D135">
        <v>4</v>
      </c>
      <c r="E135" s="28">
        <v>0.111857</v>
      </c>
      <c r="F135" s="28">
        <v>94.333299999999994</v>
      </c>
      <c r="G135" s="28">
        <v>67.333299999999994</v>
      </c>
      <c r="H135" s="28">
        <v>0.71378081759039491</v>
      </c>
      <c r="I135" s="28">
        <v>97.524799999999999</v>
      </c>
      <c r="J135" s="28">
        <v>2.4752000000000001</v>
      </c>
      <c r="K135" s="28">
        <v>87.619</v>
      </c>
      <c r="L135" s="28">
        <v>87</v>
      </c>
      <c r="M135" s="28">
        <v>100</v>
      </c>
      <c r="N135" s="28">
        <v>699.07011</v>
      </c>
      <c r="O135" s="28">
        <v>107.5</v>
      </c>
      <c r="P135" s="28">
        <v>591.29999999999995</v>
      </c>
      <c r="Q135" s="28">
        <v>0.27011000000000002</v>
      </c>
      <c r="R135" s="28">
        <v>122.711015</v>
      </c>
      <c r="S135" s="28">
        <v>100</v>
      </c>
      <c r="T135" s="28">
        <v>0.95</v>
      </c>
      <c r="U135" t="s">
        <v>17</v>
      </c>
    </row>
    <row r="136" spans="1:21" x14ac:dyDescent="0.25">
      <c r="A136" t="s">
        <v>33</v>
      </c>
      <c r="B136">
        <v>300</v>
      </c>
      <c r="C136">
        <v>105</v>
      </c>
      <c r="D136">
        <v>4</v>
      </c>
      <c r="E136" s="28">
        <v>0.113445</v>
      </c>
      <c r="F136" s="28">
        <v>94.333299999999994</v>
      </c>
      <c r="G136" s="28">
        <v>67.333299999999994</v>
      </c>
      <c r="H136" s="28">
        <v>0.71378081759039491</v>
      </c>
      <c r="I136" s="28">
        <v>97.524799999999999</v>
      </c>
      <c r="J136" s="28">
        <v>2.4752000000000001</v>
      </c>
      <c r="K136" s="28">
        <v>87.619</v>
      </c>
      <c r="L136" s="28">
        <v>87</v>
      </c>
      <c r="M136" s="28">
        <v>100</v>
      </c>
      <c r="N136" s="28">
        <v>699.07011</v>
      </c>
      <c r="O136" s="28">
        <v>107.5</v>
      </c>
      <c r="P136" s="28">
        <v>591.29999999999995</v>
      </c>
      <c r="Q136" s="28">
        <v>0.27011000000000002</v>
      </c>
      <c r="R136" s="28">
        <v>122.67958400000001</v>
      </c>
      <c r="S136" s="28">
        <v>100</v>
      </c>
      <c r="T136" s="28">
        <v>0.95</v>
      </c>
      <c r="U136" t="s">
        <v>17</v>
      </c>
    </row>
    <row r="137" spans="1:21" x14ac:dyDescent="0.25">
      <c r="A137" t="s">
        <v>33</v>
      </c>
      <c r="B137">
        <v>300</v>
      </c>
      <c r="C137">
        <v>105</v>
      </c>
      <c r="D137">
        <v>4</v>
      </c>
      <c r="E137" s="28">
        <v>0.108677</v>
      </c>
      <c r="F137" s="28">
        <v>94.333299999999994</v>
      </c>
      <c r="G137" s="28">
        <v>67.333299999999994</v>
      </c>
      <c r="H137" s="28">
        <v>0.71378081759039491</v>
      </c>
      <c r="I137" s="28">
        <v>97.524799999999999</v>
      </c>
      <c r="J137" s="28">
        <v>2.4752000000000001</v>
      </c>
      <c r="K137" s="28">
        <v>87.619</v>
      </c>
      <c r="L137" s="28">
        <v>87</v>
      </c>
      <c r="M137" s="28">
        <v>100</v>
      </c>
      <c r="N137" s="28">
        <v>699.07011</v>
      </c>
      <c r="O137" s="28">
        <v>107.5</v>
      </c>
      <c r="P137" s="28">
        <v>591.29999999999995</v>
      </c>
      <c r="Q137" s="28">
        <v>0.27011000000000002</v>
      </c>
      <c r="R137" s="28">
        <v>122.711163</v>
      </c>
      <c r="S137" s="28">
        <v>100</v>
      </c>
      <c r="T137" s="28">
        <v>0.95</v>
      </c>
      <c r="U137" t="s">
        <v>17</v>
      </c>
    </row>
    <row r="138" spans="1:21" x14ac:dyDescent="0.25">
      <c r="A138" t="s">
        <v>33</v>
      </c>
      <c r="B138">
        <v>300</v>
      </c>
      <c r="C138">
        <v>105</v>
      </c>
      <c r="D138">
        <v>4</v>
      </c>
      <c r="E138" s="28">
        <v>0.11034099999999999</v>
      </c>
      <c r="F138" s="28">
        <v>94.333299999999994</v>
      </c>
      <c r="G138" s="28">
        <v>67.333299999999994</v>
      </c>
      <c r="H138" s="28">
        <v>0.71378081759039491</v>
      </c>
      <c r="I138" s="28">
        <v>97.524799999999999</v>
      </c>
      <c r="J138" s="28">
        <v>2.4752000000000001</v>
      </c>
      <c r="K138" s="28">
        <v>87.619</v>
      </c>
      <c r="L138" s="28">
        <v>87</v>
      </c>
      <c r="M138" s="28">
        <v>100</v>
      </c>
      <c r="N138" s="28">
        <v>699.07011</v>
      </c>
      <c r="O138" s="28">
        <v>107.5</v>
      </c>
      <c r="P138" s="28">
        <v>591.29999999999995</v>
      </c>
      <c r="Q138" s="28">
        <v>0.27011000000000002</v>
      </c>
      <c r="R138" s="28">
        <v>122.743387</v>
      </c>
      <c r="S138" s="28">
        <v>100</v>
      </c>
      <c r="T138" s="28">
        <v>0.95</v>
      </c>
      <c r="U138" t="s">
        <v>17</v>
      </c>
    </row>
    <row r="139" spans="1:21" x14ac:dyDescent="0.25">
      <c r="A139" t="s">
        <v>33</v>
      </c>
      <c r="B139">
        <v>300</v>
      </c>
      <c r="C139">
        <v>105</v>
      </c>
      <c r="D139">
        <v>4</v>
      </c>
      <c r="E139" s="28">
        <v>0.11190799999999999</v>
      </c>
      <c r="F139" s="28">
        <v>94.333299999999994</v>
      </c>
      <c r="G139" s="28">
        <v>67.333299999999994</v>
      </c>
      <c r="H139" s="28">
        <v>0.71378081759039491</v>
      </c>
      <c r="I139" s="28">
        <v>97.524799999999999</v>
      </c>
      <c r="J139" s="28">
        <v>2.4752000000000001</v>
      </c>
      <c r="K139" s="28">
        <v>87.619</v>
      </c>
      <c r="L139" s="28">
        <v>87</v>
      </c>
      <c r="M139" s="28">
        <v>100</v>
      </c>
      <c r="N139" s="28">
        <v>699.07011</v>
      </c>
      <c r="O139" s="28">
        <v>107.5</v>
      </c>
      <c r="P139" s="28">
        <v>591.29999999999995</v>
      </c>
      <c r="Q139" s="28">
        <v>0.27011000000000002</v>
      </c>
      <c r="R139" s="28">
        <v>122.647623</v>
      </c>
      <c r="S139" s="28">
        <v>100</v>
      </c>
      <c r="T139" s="28">
        <v>0.95</v>
      </c>
      <c r="U139" t="s">
        <v>17</v>
      </c>
    </row>
    <row r="140" spans="1:21" x14ac:dyDescent="0.25">
      <c r="A140" t="s">
        <v>33</v>
      </c>
      <c r="B140">
        <v>300</v>
      </c>
      <c r="C140">
        <v>105</v>
      </c>
      <c r="D140">
        <v>4</v>
      </c>
      <c r="E140" s="28">
        <v>0.109803</v>
      </c>
      <c r="F140" s="28">
        <v>94.333299999999994</v>
      </c>
      <c r="G140" s="28">
        <v>67.333299999999994</v>
      </c>
      <c r="H140" s="28">
        <v>0.71378081759039491</v>
      </c>
      <c r="I140" s="28">
        <v>97.524799999999999</v>
      </c>
      <c r="J140" s="28">
        <v>2.4752000000000001</v>
      </c>
      <c r="K140" s="28">
        <v>87.619</v>
      </c>
      <c r="L140" s="28">
        <v>87</v>
      </c>
      <c r="M140" s="28">
        <v>100</v>
      </c>
      <c r="N140" s="28">
        <v>699.07011</v>
      </c>
      <c r="O140" s="28">
        <v>107.5</v>
      </c>
      <c r="P140" s="28">
        <v>591.29999999999995</v>
      </c>
      <c r="Q140" s="28">
        <v>0.27011000000000002</v>
      </c>
      <c r="R140" s="28">
        <v>122.679152</v>
      </c>
      <c r="S140" s="28">
        <v>100</v>
      </c>
      <c r="T140" s="28">
        <v>0.95</v>
      </c>
      <c r="U140" t="s">
        <v>17</v>
      </c>
    </row>
    <row r="141" spans="1:21" x14ac:dyDescent="0.25">
      <c r="A141" t="s">
        <v>33</v>
      </c>
      <c r="B141">
        <v>300</v>
      </c>
      <c r="C141">
        <v>105</v>
      </c>
      <c r="D141">
        <v>4</v>
      </c>
      <c r="E141" s="28">
        <v>0.111544</v>
      </c>
      <c r="F141" s="28">
        <v>94.333299999999994</v>
      </c>
      <c r="G141" s="28">
        <v>67.333299999999994</v>
      </c>
      <c r="H141" s="28">
        <v>0.71378081759039491</v>
      </c>
      <c r="I141" s="28">
        <v>97.524799999999999</v>
      </c>
      <c r="J141" s="28">
        <v>2.4752000000000001</v>
      </c>
      <c r="K141" s="28">
        <v>87.619</v>
      </c>
      <c r="L141" s="28">
        <v>87</v>
      </c>
      <c r="M141" s="28">
        <v>100</v>
      </c>
      <c r="N141" s="28">
        <v>699.07011</v>
      </c>
      <c r="O141" s="28">
        <v>107.5</v>
      </c>
      <c r="P141" s="28">
        <v>591.29999999999995</v>
      </c>
      <c r="Q141" s="28">
        <v>0.27011000000000002</v>
      </c>
      <c r="R141" s="28">
        <v>122.74334</v>
      </c>
      <c r="S141" s="28">
        <v>100</v>
      </c>
      <c r="T141" s="28">
        <v>0.95</v>
      </c>
      <c r="U141" t="s">
        <v>17</v>
      </c>
    </row>
    <row r="142" spans="1:21" x14ac:dyDescent="0.25">
      <c r="A142" t="s">
        <v>33</v>
      </c>
      <c r="B142">
        <v>300</v>
      </c>
      <c r="C142">
        <v>105</v>
      </c>
      <c r="D142">
        <v>4</v>
      </c>
      <c r="E142" s="28">
        <v>0.109051</v>
      </c>
      <c r="F142" s="28">
        <v>94.333299999999994</v>
      </c>
      <c r="G142" s="28">
        <v>67.333299999999994</v>
      </c>
      <c r="H142" s="28">
        <v>0.71378081759039491</v>
      </c>
      <c r="I142" s="28">
        <v>97.524799999999999</v>
      </c>
      <c r="J142" s="28">
        <v>2.4752000000000001</v>
      </c>
      <c r="K142" s="28">
        <v>87.619</v>
      </c>
      <c r="L142" s="28">
        <v>87</v>
      </c>
      <c r="M142" s="28">
        <v>100</v>
      </c>
      <c r="N142" s="28">
        <v>699.07011</v>
      </c>
      <c r="O142" s="28">
        <v>107.5</v>
      </c>
      <c r="P142" s="28">
        <v>591.29999999999995</v>
      </c>
      <c r="Q142" s="28">
        <v>0.27011000000000002</v>
      </c>
      <c r="R142" s="28">
        <v>122.711319</v>
      </c>
      <c r="S142" s="28">
        <v>100</v>
      </c>
      <c r="T142" s="28">
        <v>0.95</v>
      </c>
      <c r="U142" t="s">
        <v>17</v>
      </c>
    </row>
    <row r="143" spans="1:21" x14ac:dyDescent="0.25">
      <c r="A143" t="s">
        <v>33</v>
      </c>
      <c r="B143">
        <v>300</v>
      </c>
      <c r="C143">
        <v>105</v>
      </c>
      <c r="D143">
        <v>4</v>
      </c>
      <c r="E143" s="28">
        <v>0.11168</v>
      </c>
      <c r="F143" s="28">
        <v>94.333299999999994</v>
      </c>
      <c r="G143" s="28">
        <v>67.333299999999994</v>
      </c>
      <c r="H143" s="28">
        <v>0.71378081759039491</v>
      </c>
      <c r="I143" s="28">
        <v>97.524799999999999</v>
      </c>
      <c r="J143" s="28">
        <v>2.4752000000000001</v>
      </c>
      <c r="K143" s="28">
        <v>87.619</v>
      </c>
      <c r="L143" s="28">
        <v>87</v>
      </c>
      <c r="M143" s="28">
        <v>100</v>
      </c>
      <c r="N143" s="28">
        <v>699.07011</v>
      </c>
      <c r="O143" s="28">
        <v>107.5</v>
      </c>
      <c r="P143" s="28">
        <v>591.29999999999995</v>
      </c>
      <c r="Q143" s="28">
        <v>0.27011000000000002</v>
      </c>
      <c r="R143" s="28">
        <v>122.743323</v>
      </c>
      <c r="S143" s="28">
        <v>100</v>
      </c>
      <c r="T143" s="28">
        <v>0.95</v>
      </c>
      <c r="U143" t="s">
        <v>17</v>
      </c>
    </row>
    <row r="144" spans="1:21" x14ac:dyDescent="0.25">
      <c r="A144" t="s">
        <v>33</v>
      </c>
      <c r="B144">
        <v>300</v>
      </c>
      <c r="C144">
        <v>105</v>
      </c>
      <c r="D144">
        <v>4</v>
      </c>
      <c r="E144" s="28">
        <v>0.112383</v>
      </c>
      <c r="F144" s="28">
        <v>94.333299999999994</v>
      </c>
      <c r="G144" s="28">
        <v>67.333299999999994</v>
      </c>
      <c r="H144" s="28">
        <v>0.71378081759039491</v>
      </c>
      <c r="I144" s="28">
        <v>97.524799999999999</v>
      </c>
      <c r="J144" s="28">
        <v>2.4752000000000001</v>
      </c>
      <c r="K144" s="28">
        <v>87.619</v>
      </c>
      <c r="L144" s="28">
        <v>87</v>
      </c>
      <c r="M144" s="28">
        <v>100</v>
      </c>
      <c r="N144" s="28">
        <v>699.07011</v>
      </c>
      <c r="O144" s="28">
        <v>107.5</v>
      </c>
      <c r="P144" s="28">
        <v>591.29999999999995</v>
      </c>
      <c r="Q144" s="28">
        <v>0.27011000000000002</v>
      </c>
      <c r="R144" s="28">
        <v>122.679361</v>
      </c>
      <c r="S144" s="28">
        <v>100</v>
      </c>
      <c r="T144" s="28">
        <v>0.95</v>
      </c>
      <c r="U144" t="s">
        <v>17</v>
      </c>
    </row>
    <row r="145" spans="1:21" x14ac:dyDescent="0.25">
      <c r="A145" t="s">
        <v>33</v>
      </c>
      <c r="B145">
        <v>300</v>
      </c>
      <c r="C145">
        <v>105</v>
      </c>
      <c r="D145">
        <v>4</v>
      </c>
      <c r="E145" s="28">
        <v>0.10979999999999999</v>
      </c>
      <c r="F145" s="28">
        <v>94.333299999999994</v>
      </c>
      <c r="G145" s="28">
        <v>67.333299999999994</v>
      </c>
      <c r="H145" s="28">
        <v>0.71378081759039491</v>
      </c>
      <c r="I145" s="28">
        <v>97.524799999999999</v>
      </c>
      <c r="J145" s="28">
        <v>2.4752000000000001</v>
      </c>
      <c r="K145" s="28">
        <v>87.619</v>
      </c>
      <c r="L145" s="28">
        <v>87</v>
      </c>
      <c r="M145" s="28">
        <v>100</v>
      </c>
      <c r="N145" s="28">
        <v>699.07011</v>
      </c>
      <c r="O145" s="28">
        <v>107.5</v>
      </c>
      <c r="P145" s="28">
        <v>591.29999999999995</v>
      </c>
      <c r="Q145" s="28">
        <v>0.27011000000000002</v>
      </c>
      <c r="R145" s="28">
        <v>122.74342300000001</v>
      </c>
      <c r="S145" s="28">
        <v>100</v>
      </c>
      <c r="T145" s="28">
        <v>0.95</v>
      </c>
      <c r="U145" t="s">
        <v>17</v>
      </c>
    </row>
    <row r="146" spans="1:21" x14ac:dyDescent="0.25">
      <c r="A146" t="s">
        <v>33</v>
      </c>
      <c r="B146">
        <v>300</v>
      </c>
      <c r="C146">
        <v>105</v>
      </c>
      <c r="D146">
        <v>4</v>
      </c>
      <c r="E146" s="28">
        <v>0.11161</v>
      </c>
      <c r="F146" s="28">
        <v>94.333299999999994</v>
      </c>
      <c r="G146" s="28">
        <v>67.333299999999994</v>
      </c>
      <c r="H146" s="28">
        <v>0.71378081759039491</v>
      </c>
      <c r="I146" s="28">
        <v>97.524799999999999</v>
      </c>
      <c r="J146" s="28">
        <v>2.4752000000000001</v>
      </c>
      <c r="K146" s="28">
        <v>87.619</v>
      </c>
      <c r="L146" s="28">
        <v>87</v>
      </c>
      <c r="M146" s="28">
        <v>100</v>
      </c>
      <c r="N146" s="28">
        <v>699.07078999999999</v>
      </c>
      <c r="O146" s="28">
        <v>107.5</v>
      </c>
      <c r="P146" s="28">
        <v>591.29999999999995</v>
      </c>
      <c r="Q146" s="28">
        <v>0.27078999999999998</v>
      </c>
      <c r="R146" s="28">
        <v>122.619744</v>
      </c>
      <c r="S146" s="28">
        <v>100</v>
      </c>
      <c r="T146" s="28">
        <v>0.95</v>
      </c>
      <c r="U146" t="s">
        <v>17</v>
      </c>
    </row>
    <row r="147" spans="1:21" x14ac:dyDescent="0.25">
      <c r="A147" t="s">
        <v>33</v>
      </c>
      <c r="B147">
        <v>300</v>
      </c>
      <c r="C147">
        <v>105</v>
      </c>
      <c r="D147">
        <v>4</v>
      </c>
      <c r="E147" s="28">
        <v>0.110405</v>
      </c>
      <c r="F147" s="28">
        <v>94.333299999999994</v>
      </c>
      <c r="G147" s="28">
        <v>67.333299999999994</v>
      </c>
      <c r="H147" s="28">
        <v>0.71378081759039491</v>
      </c>
      <c r="I147" s="28">
        <v>97.524799999999999</v>
      </c>
      <c r="J147" s="28">
        <v>2.4752000000000001</v>
      </c>
      <c r="K147" s="28">
        <v>87.619</v>
      </c>
      <c r="L147" s="28">
        <v>87</v>
      </c>
      <c r="M147" s="28">
        <v>100</v>
      </c>
      <c r="N147" s="28">
        <v>699.07078999999999</v>
      </c>
      <c r="O147" s="28">
        <v>107.5</v>
      </c>
      <c r="P147" s="28">
        <v>591.29999999999995</v>
      </c>
      <c r="Q147" s="28">
        <v>0.27078999999999998</v>
      </c>
      <c r="R147" s="28">
        <v>122.619918</v>
      </c>
      <c r="S147" s="28">
        <v>100</v>
      </c>
      <c r="T147" s="28">
        <v>0.95</v>
      </c>
      <c r="U147" t="s">
        <v>17</v>
      </c>
    </row>
    <row r="148" spans="1:21" x14ac:dyDescent="0.25">
      <c r="A148" t="s">
        <v>33</v>
      </c>
      <c r="B148">
        <v>300</v>
      </c>
      <c r="C148">
        <v>105</v>
      </c>
      <c r="D148">
        <v>4</v>
      </c>
      <c r="E148" s="28">
        <v>0.11117299999999999</v>
      </c>
      <c r="F148" s="28">
        <v>94.333299999999994</v>
      </c>
      <c r="G148" s="28">
        <v>67.333299999999994</v>
      </c>
      <c r="H148" s="28">
        <v>0.71378081759039491</v>
      </c>
      <c r="I148" s="28">
        <v>97.524799999999999</v>
      </c>
      <c r="J148" s="28">
        <v>2.4752000000000001</v>
      </c>
      <c r="K148" s="28">
        <v>87.619</v>
      </c>
      <c r="L148" s="28">
        <v>87</v>
      </c>
      <c r="M148" s="28">
        <v>100</v>
      </c>
      <c r="N148" s="28">
        <v>699.07078999999999</v>
      </c>
      <c r="O148" s="28">
        <v>107.5</v>
      </c>
      <c r="P148" s="28">
        <v>591.29999999999995</v>
      </c>
      <c r="Q148" s="28">
        <v>0.27078999999999998</v>
      </c>
      <c r="R148" s="28">
        <v>122.65172200000001</v>
      </c>
      <c r="S148" s="28">
        <v>100</v>
      </c>
      <c r="T148" s="28">
        <v>0.95</v>
      </c>
      <c r="U148" t="s">
        <v>17</v>
      </c>
    </row>
    <row r="149" spans="1:21" x14ac:dyDescent="0.25">
      <c r="A149" t="s">
        <v>33</v>
      </c>
      <c r="B149">
        <v>300</v>
      </c>
      <c r="C149">
        <v>105</v>
      </c>
      <c r="D149">
        <v>4</v>
      </c>
      <c r="E149" s="28">
        <v>0.10970100000000001</v>
      </c>
      <c r="F149" s="28">
        <v>94.333299999999994</v>
      </c>
      <c r="G149" s="28">
        <v>67.333299999999994</v>
      </c>
      <c r="H149" s="28">
        <v>0.71378081759039491</v>
      </c>
      <c r="I149" s="28">
        <v>97.524799999999999</v>
      </c>
      <c r="J149" s="28">
        <v>2.4752000000000001</v>
      </c>
      <c r="K149" s="28">
        <v>87.619</v>
      </c>
      <c r="L149" s="28">
        <v>87</v>
      </c>
      <c r="M149" s="28">
        <v>100</v>
      </c>
      <c r="N149" s="28">
        <v>699.07078999999999</v>
      </c>
      <c r="O149" s="28">
        <v>107.5</v>
      </c>
      <c r="P149" s="28">
        <v>591.29999999999995</v>
      </c>
      <c r="Q149" s="28">
        <v>0.27078999999999998</v>
      </c>
      <c r="R149" s="28">
        <v>122.683711</v>
      </c>
      <c r="S149" s="28">
        <v>100</v>
      </c>
      <c r="T149" s="28">
        <v>0.95</v>
      </c>
      <c r="U149" t="s">
        <v>17</v>
      </c>
    </row>
    <row r="150" spans="1:21" x14ac:dyDescent="0.25">
      <c r="A150" t="s">
        <v>33</v>
      </c>
      <c r="B150">
        <v>300</v>
      </c>
      <c r="C150">
        <v>105</v>
      </c>
      <c r="D150">
        <v>4</v>
      </c>
      <c r="E150" s="28">
        <v>0.114217</v>
      </c>
      <c r="F150" s="28">
        <v>94.333299999999994</v>
      </c>
      <c r="G150" s="28">
        <v>67.333299999999994</v>
      </c>
      <c r="H150" s="28">
        <v>0.71378081759039491</v>
      </c>
      <c r="I150" s="28">
        <v>97.524799999999999</v>
      </c>
      <c r="J150" s="28">
        <v>2.4752000000000001</v>
      </c>
      <c r="K150" s="28">
        <v>87.619</v>
      </c>
      <c r="L150" s="28">
        <v>87</v>
      </c>
      <c r="M150" s="28">
        <v>100</v>
      </c>
      <c r="N150" s="28">
        <v>699.07078999999999</v>
      </c>
      <c r="O150" s="28">
        <v>107.5</v>
      </c>
      <c r="P150" s="28">
        <v>591.29999999999995</v>
      </c>
      <c r="Q150" s="28">
        <v>0.27078999999999998</v>
      </c>
      <c r="R150" s="28">
        <v>122.619564</v>
      </c>
      <c r="S150" s="28">
        <v>100</v>
      </c>
      <c r="T150" s="28">
        <v>0.95</v>
      </c>
      <c r="U150" t="s">
        <v>17</v>
      </c>
    </row>
    <row r="151" spans="1:21" x14ac:dyDescent="0.25">
      <c r="A151" t="s">
        <v>33</v>
      </c>
      <c r="B151">
        <v>300</v>
      </c>
      <c r="C151">
        <v>105</v>
      </c>
      <c r="D151">
        <v>4</v>
      </c>
      <c r="E151" s="28">
        <v>0.116591</v>
      </c>
      <c r="F151" s="28">
        <v>94.333299999999994</v>
      </c>
      <c r="G151" s="28">
        <v>67.333299999999994</v>
      </c>
      <c r="H151" s="28">
        <v>0.71378081759039491</v>
      </c>
      <c r="I151" s="28">
        <v>97.524799999999999</v>
      </c>
      <c r="J151" s="28">
        <v>2.4752000000000001</v>
      </c>
      <c r="K151" s="28">
        <v>88.571399999999997</v>
      </c>
      <c r="L151" s="28">
        <v>88</v>
      </c>
      <c r="M151" s="28">
        <v>100</v>
      </c>
      <c r="N151" s="28">
        <v>699.07096000000001</v>
      </c>
      <c r="O151" s="28">
        <v>107.5</v>
      </c>
      <c r="P151" s="28">
        <v>591.29999999999995</v>
      </c>
      <c r="Q151" s="28">
        <v>0.27095999999999998</v>
      </c>
      <c r="R151" s="28">
        <v>122.771227</v>
      </c>
      <c r="S151" s="28">
        <v>100</v>
      </c>
      <c r="T151" s="28">
        <v>0.95</v>
      </c>
      <c r="U151" t="s">
        <v>17</v>
      </c>
    </row>
    <row r="152" spans="1:21" x14ac:dyDescent="0.25">
      <c r="A152" t="s">
        <v>33</v>
      </c>
      <c r="B152">
        <v>300</v>
      </c>
      <c r="C152">
        <v>105</v>
      </c>
      <c r="D152">
        <v>4</v>
      </c>
      <c r="E152" s="28">
        <v>0.110818</v>
      </c>
      <c r="F152" s="28">
        <v>94.333299999999994</v>
      </c>
      <c r="G152" s="28">
        <v>67.333299999999994</v>
      </c>
      <c r="H152" s="28">
        <v>0.71378081759039491</v>
      </c>
      <c r="I152" s="28">
        <v>97.524799999999999</v>
      </c>
      <c r="J152" s="28">
        <v>2.4752000000000001</v>
      </c>
      <c r="K152" s="28">
        <v>88.571399999999997</v>
      </c>
      <c r="L152" s="28">
        <v>88</v>
      </c>
      <c r="M152" s="28">
        <v>100</v>
      </c>
      <c r="N152" s="28">
        <v>699.07096000000001</v>
      </c>
      <c r="O152" s="28">
        <v>107.5</v>
      </c>
      <c r="P152" s="28">
        <v>591.29999999999995</v>
      </c>
      <c r="Q152" s="28">
        <v>0.27095999999999998</v>
      </c>
      <c r="R152" s="28">
        <v>122.771537</v>
      </c>
      <c r="S152" s="28">
        <v>100</v>
      </c>
      <c r="T152" s="28">
        <v>0.95</v>
      </c>
      <c r="U152" t="s">
        <v>17</v>
      </c>
    </row>
    <row r="153" spans="1:21" x14ac:dyDescent="0.25">
      <c r="A153" t="s">
        <v>33</v>
      </c>
      <c r="B153">
        <v>300</v>
      </c>
      <c r="C153">
        <v>105</v>
      </c>
      <c r="D153">
        <v>4</v>
      </c>
      <c r="E153" s="28">
        <v>0.11455799999999999</v>
      </c>
      <c r="F153" s="28">
        <v>94.333299999999994</v>
      </c>
      <c r="G153" s="28">
        <v>67.333299999999994</v>
      </c>
      <c r="H153" s="28">
        <v>0.71378081759039491</v>
      </c>
      <c r="I153" s="28">
        <v>97.524799999999999</v>
      </c>
      <c r="J153" s="28">
        <v>2.4752000000000001</v>
      </c>
      <c r="K153" s="28">
        <v>88.571399999999997</v>
      </c>
      <c r="L153" s="28">
        <v>88</v>
      </c>
      <c r="M153" s="28">
        <v>100</v>
      </c>
      <c r="N153" s="28">
        <v>699.07096000000001</v>
      </c>
      <c r="O153" s="28">
        <v>107.5</v>
      </c>
      <c r="P153" s="28">
        <v>591.29999999999995</v>
      </c>
      <c r="Q153" s="28">
        <v>0.27095999999999998</v>
      </c>
      <c r="R153" s="28">
        <v>122.73922899999999</v>
      </c>
      <c r="S153" s="28">
        <v>100</v>
      </c>
      <c r="T153" s="28">
        <v>0.95</v>
      </c>
      <c r="U153" t="s">
        <v>17</v>
      </c>
    </row>
    <row r="154" spans="1:21" x14ac:dyDescent="0.25">
      <c r="A154" t="s">
        <v>33</v>
      </c>
      <c r="B154">
        <v>300</v>
      </c>
      <c r="C154">
        <v>105</v>
      </c>
      <c r="D154">
        <v>4</v>
      </c>
      <c r="E154" s="28">
        <v>0.112303</v>
      </c>
      <c r="F154" s="28">
        <v>94.333299999999994</v>
      </c>
      <c r="G154" s="28">
        <v>67.333299999999994</v>
      </c>
      <c r="H154" s="28">
        <v>0.71378081759039491</v>
      </c>
      <c r="I154" s="28">
        <v>97.524799999999999</v>
      </c>
      <c r="J154" s="28">
        <v>2.4752000000000001</v>
      </c>
      <c r="K154" s="28">
        <v>88.571399999999997</v>
      </c>
      <c r="L154" s="28">
        <v>88</v>
      </c>
      <c r="M154" s="28">
        <v>100</v>
      </c>
      <c r="N154" s="28">
        <v>699.07096000000001</v>
      </c>
      <c r="O154" s="28">
        <v>107.5</v>
      </c>
      <c r="P154" s="28">
        <v>591.29999999999995</v>
      </c>
      <c r="Q154" s="28">
        <v>0.27095999999999998</v>
      </c>
      <c r="R154" s="28">
        <v>122.834997</v>
      </c>
      <c r="S154" s="28">
        <v>100</v>
      </c>
      <c r="T154" s="28">
        <v>0.95</v>
      </c>
      <c r="U154" t="s">
        <v>17</v>
      </c>
    </row>
    <row r="155" spans="1:21" x14ac:dyDescent="0.25">
      <c r="A155" t="s">
        <v>33</v>
      </c>
      <c r="B155">
        <v>300</v>
      </c>
      <c r="C155">
        <v>105</v>
      </c>
      <c r="D155">
        <v>4</v>
      </c>
      <c r="E155" s="28">
        <v>0.111167</v>
      </c>
      <c r="F155" s="28">
        <v>94.333299999999994</v>
      </c>
      <c r="G155" s="28">
        <v>67.333299999999994</v>
      </c>
      <c r="H155" s="28">
        <v>0.71378081759039491</v>
      </c>
      <c r="I155" s="28">
        <v>97.524799999999999</v>
      </c>
      <c r="J155" s="28">
        <v>2.4752000000000001</v>
      </c>
      <c r="K155" s="28">
        <v>88.571399999999997</v>
      </c>
      <c r="L155" s="28">
        <v>88</v>
      </c>
      <c r="M155" s="28">
        <v>100</v>
      </c>
      <c r="N155" s="28">
        <v>699.07096000000001</v>
      </c>
      <c r="O155" s="28">
        <v>107.5</v>
      </c>
      <c r="P155" s="28">
        <v>591.29999999999995</v>
      </c>
      <c r="Q155" s="28">
        <v>0.27095999999999998</v>
      </c>
      <c r="R155" s="28">
        <v>122.80312600000001</v>
      </c>
      <c r="S155" s="28">
        <v>100</v>
      </c>
      <c r="T155" s="28">
        <v>0.95</v>
      </c>
      <c r="U155" t="s">
        <v>17</v>
      </c>
    </row>
    <row r="156" spans="1:21" x14ac:dyDescent="0.25">
      <c r="A156" t="s">
        <v>33</v>
      </c>
      <c r="B156">
        <v>300</v>
      </c>
      <c r="C156">
        <v>105</v>
      </c>
      <c r="D156">
        <v>4</v>
      </c>
      <c r="E156" s="28">
        <v>0.113609</v>
      </c>
      <c r="F156" s="28">
        <v>94.333299999999994</v>
      </c>
      <c r="G156" s="28">
        <v>67.333299999999994</v>
      </c>
      <c r="H156" s="28">
        <v>0.71378081759039491</v>
      </c>
      <c r="I156" s="28">
        <v>97.524799999999999</v>
      </c>
      <c r="J156" s="28">
        <v>2.4752000000000001</v>
      </c>
      <c r="K156" s="28">
        <v>88.571399999999997</v>
      </c>
      <c r="L156" s="28">
        <v>88</v>
      </c>
      <c r="M156" s="28">
        <v>100</v>
      </c>
      <c r="N156" s="28">
        <v>699.07096000000001</v>
      </c>
      <c r="O156" s="28">
        <v>107.5</v>
      </c>
      <c r="P156" s="28">
        <v>591.29999999999995</v>
      </c>
      <c r="Q156" s="28">
        <v>0.27095999999999998</v>
      </c>
      <c r="R156" s="28">
        <v>122.803274</v>
      </c>
      <c r="S156" s="28">
        <v>100</v>
      </c>
      <c r="T156" s="28">
        <v>0.95</v>
      </c>
      <c r="U156" t="s">
        <v>17</v>
      </c>
    </row>
    <row r="157" spans="1:21" x14ac:dyDescent="0.25">
      <c r="A157" t="s">
        <v>33</v>
      </c>
      <c r="B157">
        <v>300</v>
      </c>
      <c r="C157">
        <v>105</v>
      </c>
      <c r="D157">
        <v>4</v>
      </c>
      <c r="E157" s="28">
        <v>0.110678</v>
      </c>
      <c r="F157" s="28">
        <v>94.333299999999994</v>
      </c>
      <c r="G157" s="28">
        <v>67.333299999999994</v>
      </c>
      <c r="H157" s="28">
        <v>0.71378081759039491</v>
      </c>
      <c r="I157" s="28">
        <v>97.524799999999999</v>
      </c>
      <c r="J157" s="28">
        <v>2.4752000000000001</v>
      </c>
      <c r="K157" s="28">
        <v>88.571399999999997</v>
      </c>
      <c r="L157" s="28">
        <v>88</v>
      </c>
      <c r="M157" s="28">
        <v>100</v>
      </c>
      <c r="N157" s="28">
        <v>699.07096000000001</v>
      </c>
      <c r="O157" s="28">
        <v>107.5</v>
      </c>
      <c r="P157" s="28">
        <v>591.29999999999995</v>
      </c>
      <c r="Q157" s="28">
        <v>0.27095999999999998</v>
      </c>
      <c r="R157" s="28">
        <v>122.834936</v>
      </c>
      <c r="S157" s="28">
        <v>100</v>
      </c>
      <c r="T157" s="28">
        <v>0.95</v>
      </c>
      <c r="U157" t="s">
        <v>17</v>
      </c>
    </row>
    <row r="158" spans="1:21" x14ac:dyDescent="0.25">
      <c r="A158" t="s">
        <v>33</v>
      </c>
      <c r="B158">
        <v>300</v>
      </c>
      <c r="C158">
        <v>105</v>
      </c>
      <c r="D158">
        <v>4</v>
      </c>
      <c r="E158" s="28">
        <v>0.114213</v>
      </c>
      <c r="F158" s="28">
        <v>94.333299999999994</v>
      </c>
      <c r="G158" s="28">
        <v>67.333299999999994</v>
      </c>
      <c r="H158" s="28">
        <v>0.71378081759039491</v>
      </c>
      <c r="I158" s="28">
        <v>97.524799999999999</v>
      </c>
      <c r="J158" s="28">
        <v>2.4752000000000001</v>
      </c>
      <c r="K158" s="28">
        <v>88.571399999999997</v>
      </c>
      <c r="L158" s="28">
        <v>88</v>
      </c>
      <c r="M158" s="28">
        <v>100</v>
      </c>
      <c r="N158" s="28">
        <v>699.07096000000001</v>
      </c>
      <c r="O158" s="28">
        <v>107.5</v>
      </c>
      <c r="P158" s="28">
        <v>591.29999999999995</v>
      </c>
      <c r="Q158" s="28">
        <v>0.27095999999999998</v>
      </c>
      <c r="R158" s="28">
        <v>122.80277599999999</v>
      </c>
      <c r="S158" s="28">
        <v>100</v>
      </c>
      <c r="T158" s="28">
        <v>0.95</v>
      </c>
      <c r="U158" t="s">
        <v>17</v>
      </c>
    </row>
    <row r="159" spans="1:21" x14ac:dyDescent="0.25">
      <c r="A159" t="s">
        <v>33</v>
      </c>
      <c r="B159">
        <v>300</v>
      </c>
      <c r="C159">
        <v>105</v>
      </c>
      <c r="D159">
        <v>4</v>
      </c>
      <c r="E159" s="28">
        <v>0.11247500000000001</v>
      </c>
      <c r="F159" s="28">
        <v>94.333299999999994</v>
      </c>
      <c r="G159" s="28">
        <v>67.333299999999994</v>
      </c>
      <c r="H159" s="28">
        <v>0.71378081759039491</v>
      </c>
      <c r="I159" s="28">
        <v>97.524799999999999</v>
      </c>
      <c r="J159" s="28">
        <v>2.4752000000000001</v>
      </c>
      <c r="K159" s="28">
        <v>88.571399999999997</v>
      </c>
      <c r="L159" s="28">
        <v>88</v>
      </c>
      <c r="M159" s="28">
        <v>100</v>
      </c>
      <c r="N159" s="28">
        <v>699.07096000000001</v>
      </c>
      <c r="O159" s="28">
        <v>107.5</v>
      </c>
      <c r="P159" s="28">
        <v>591.29999999999995</v>
      </c>
      <c r="Q159" s="28">
        <v>0.27095999999999998</v>
      </c>
      <c r="R159" s="28">
        <v>122.803027</v>
      </c>
      <c r="S159" s="28">
        <v>100</v>
      </c>
      <c r="T159" s="28">
        <v>0.95</v>
      </c>
      <c r="U159" t="s">
        <v>17</v>
      </c>
    </row>
    <row r="160" spans="1:21" x14ac:dyDescent="0.25">
      <c r="A160" t="s">
        <v>33</v>
      </c>
      <c r="B160">
        <v>300</v>
      </c>
      <c r="C160">
        <v>105</v>
      </c>
      <c r="D160">
        <v>4</v>
      </c>
      <c r="E160" s="28">
        <v>0.111331</v>
      </c>
      <c r="F160" s="28">
        <v>94.333299999999994</v>
      </c>
      <c r="G160" s="28">
        <v>67.333299999999994</v>
      </c>
      <c r="H160" s="28">
        <v>0.71378081759039491</v>
      </c>
      <c r="I160" s="28">
        <v>97.524799999999999</v>
      </c>
      <c r="J160" s="28">
        <v>2.4752000000000001</v>
      </c>
      <c r="K160" s="28">
        <v>88.571399999999997</v>
      </c>
      <c r="L160" s="28">
        <v>88</v>
      </c>
      <c r="M160" s="28">
        <v>100</v>
      </c>
      <c r="N160" s="28">
        <v>699.07096000000001</v>
      </c>
      <c r="O160" s="28">
        <v>107.5</v>
      </c>
      <c r="P160" s="28">
        <v>591.29999999999995</v>
      </c>
      <c r="Q160" s="28">
        <v>0.27095999999999998</v>
      </c>
      <c r="R160" s="28">
        <v>122.739148</v>
      </c>
      <c r="S160" s="28">
        <v>100</v>
      </c>
      <c r="T160" s="28">
        <v>0.95</v>
      </c>
      <c r="U160" t="s">
        <v>17</v>
      </c>
    </row>
    <row r="161" spans="1:21" x14ac:dyDescent="0.25">
      <c r="A161" t="s">
        <v>33</v>
      </c>
      <c r="B161">
        <v>300</v>
      </c>
      <c r="C161">
        <v>105</v>
      </c>
      <c r="D161">
        <v>4</v>
      </c>
      <c r="E161" s="28">
        <v>0.11197699999999999</v>
      </c>
      <c r="F161" s="28">
        <v>94.333299999999994</v>
      </c>
      <c r="G161" s="28">
        <v>67.333299999999994</v>
      </c>
      <c r="H161" s="28">
        <v>0.71378081759039491</v>
      </c>
      <c r="I161" s="28">
        <v>97.524799999999999</v>
      </c>
      <c r="J161" s="28">
        <v>2.4752000000000001</v>
      </c>
      <c r="K161" s="28">
        <v>88.571399999999997</v>
      </c>
      <c r="L161" s="28">
        <v>88</v>
      </c>
      <c r="M161" s="28">
        <v>100</v>
      </c>
      <c r="N161" s="28">
        <v>699.07096000000001</v>
      </c>
      <c r="O161" s="28">
        <v>107.5</v>
      </c>
      <c r="P161" s="28">
        <v>591.29999999999995</v>
      </c>
      <c r="Q161" s="28">
        <v>0.27095999999999998</v>
      </c>
      <c r="R161" s="28">
        <v>122.83510800000001</v>
      </c>
      <c r="S161" s="28">
        <v>100</v>
      </c>
      <c r="T161" s="28">
        <v>0.95</v>
      </c>
      <c r="U161" t="s">
        <v>17</v>
      </c>
    </row>
    <row r="162" spans="1:21" x14ac:dyDescent="0.25">
      <c r="A162" t="s">
        <v>33</v>
      </c>
      <c r="B162">
        <v>300</v>
      </c>
      <c r="C162">
        <v>105</v>
      </c>
      <c r="D162">
        <v>4</v>
      </c>
      <c r="E162" s="28">
        <v>0.111384</v>
      </c>
      <c r="F162" s="28">
        <v>94.333299999999994</v>
      </c>
      <c r="G162" s="28">
        <v>67.333299999999994</v>
      </c>
      <c r="H162" s="28">
        <v>0.71378081759039491</v>
      </c>
      <c r="I162" s="28">
        <v>97.524799999999999</v>
      </c>
      <c r="J162" s="28">
        <v>2.4752000000000001</v>
      </c>
      <c r="K162" s="28">
        <v>88.571399999999997</v>
      </c>
      <c r="L162" s="28">
        <v>88</v>
      </c>
      <c r="M162" s="28">
        <v>100</v>
      </c>
      <c r="N162" s="28">
        <v>699.07096000000001</v>
      </c>
      <c r="O162" s="28">
        <v>107.5</v>
      </c>
      <c r="P162" s="28">
        <v>591.29999999999995</v>
      </c>
      <c r="Q162" s="28">
        <v>0.27095999999999998</v>
      </c>
      <c r="R162" s="28">
        <v>122.770961</v>
      </c>
      <c r="S162" s="28">
        <v>100</v>
      </c>
      <c r="T162" s="28">
        <v>0.95</v>
      </c>
      <c r="U162" t="s">
        <v>17</v>
      </c>
    </row>
    <row r="163" spans="1:21" x14ac:dyDescent="0.25">
      <c r="A163" t="s">
        <v>33</v>
      </c>
      <c r="B163">
        <v>300</v>
      </c>
      <c r="C163">
        <v>105</v>
      </c>
      <c r="D163">
        <v>4</v>
      </c>
      <c r="E163" s="28">
        <v>0.111125</v>
      </c>
      <c r="F163" s="28">
        <v>94.333299999999994</v>
      </c>
      <c r="G163" s="28">
        <v>67.333299999999994</v>
      </c>
      <c r="H163" s="28">
        <v>0.71378081759039491</v>
      </c>
      <c r="I163" s="28">
        <v>97.524799999999999</v>
      </c>
      <c r="J163" s="28">
        <v>2.4752000000000001</v>
      </c>
      <c r="K163" s="28">
        <v>88.571399999999997</v>
      </c>
      <c r="L163" s="28">
        <v>88</v>
      </c>
      <c r="M163" s="28">
        <v>100</v>
      </c>
      <c r="N163" s="28">
        <v>699.07096000000001</v>
      </c>
      <c r="O163" s="28">
        <v>107.5</v>
      </c>
      <c r="P163" s="28">
        <v>591.29999999999995</v>
      </c>
      <c r="Q163" s="28">
        <v>0.27095999999999998</v>
      </c>
      <c r="R163" s="28">
        <v>122.739563</v>
      </c>
      <c r="S163" s="28">
        <v>100</v>
      </c>
      <c r="T163" s="28">
        <v>0.95</v>
      </c>
      <c r="U163" t="s">
        <v>17</v>
      </c>
    </row>
    <row r="164" spans="1:21" x14ac:dyDescent="0.25">
      <c r="A164" t="s">
        <v>33</v>
      </c>
      <c r="B164">
        <v>300</v>
      </c>
      <c r="C164">
        <v>105</v>
      </c>
      <c r="D164">
        <v>4</v>
      </c>
      <c r="E164" s="28">
        <v>0.113533</v>
      </c>
      <c r="F164" s="28">
        <v>94.333299999999994</v>
      </c>
      <c r="G164" s="28">
        <v>67.333299999999994</v>
      </c>
      <c r="H164" s="28">
        <v>0.71378081759039491</v>
      </c>
      <c r="I164" s="28">
        <v>97.524799999999999</v>
      </c>
      <c r="J164" s="28">
        <v>2.4752000000000001</v>
      </c>
      <c r="K164" s="28">
        <v>88.571399999999997</v>
      </c>
      <c r="L164" s="28">
        <v>88</v>
      </c>
      <c r="M164" s="28">
        <v>100</v>
      </c>
      <c r="N164" s="28">
        <v>699.07096000000001</v>
      </c>
      <c r="O164" s="28">
        <v>107.5</v>
      </c>
      <c r="P164" s="28">
        <v>591.29999999999995</v>
      </c>
      <c r="Q164" s="28">
        <v>0.27095999999999998</v>
      </c>
      <c r="R164" s="28">
        <v>122.803123</v>
      </c>
      <c r="S164" s="28">
        <v>100</v>
      </c>
      <c r="T164" s="28">
        <v>0.95</v>
      </c>
      <c r="U164" t="s">
        <v>17</v>
      </c>
    </row>
    <row r="165" spans="1:21" x14ac:dyDescent="0.25">
      <c r="A165" t="s">
        <v>33</v>
      </c>
      <c r="B165">
        <v>300</v>
      </c>
      <c r="C165">
        <v>105</v>
      </c>
      <c r="D165">
        <v>4</v>
      </c>
      <c r="E165" s="28">
        <v>0.11020000000000001</v>
      </c>
      <c r="F165" s="28">
        <v>94.333299999999994</v>
      </c>
      <c r="G165" s="28">
        <v>67.333299999999994</v>
      </c>
      <c r="H165" s="28">
        <v>0.71378081759039491</v>
      </c>
      <c r="I165" s="28">
        <v>97.524799999999999</v>
      </c>
      <c r="J165" s="28">
        <v>2.4752000000000001</v>
      </c>
      <c r="K165" s="28">
        <v>88.571399999999997</v>
      </c>
      <c r="L165" s="28">
        <v>88</v>
      </c>
      <c r="M165" s="28">
        <v>100</v>
      </c>
      <c r="N165" s="28">
        <v>699.07096000000001</v>
      </c>
      <c r="O165" s="28">
        <v>107.5</v>
      </c>
      <c r="P165" s="28">
        <v>591.29999999999995</v>
      </c>
      <c r="Q165" s="28">
        <v>0.27095999999999998</v>
      </c>
      <c r="R165" s="28">
        <v>122.80314199999999</v>
      </c>
      <c r="S165" s="28">
        <v>100</v>
      </c>
      <c r="T165" s="28">
        <v>0.95</v>
      </c>
      <c r="U165" t="s">
        <v>17</v>
      </c>
    </row>
    <row r="166" spans="1:21" x14ac:dyDescent="0.25">
      <c r="A166" t="s">
        <v>33</v>
      </c>
      <c r="B166">
        <v>300</v>
      </c>
      <c r="C166">
        <v>105</v>
      </c>
      <c r="D166">
        <v>4</v>
      </c>
      <c r="E166" s="28">
        <v>0.10979700000000001</v>
      </c>
      <c r="F166" s="28">
        <v>94.333299999999994</v>
      </c>
      <c r="G166" s="28">
        <v>67.333299999999994</v>
      </c>
      <c r="H166" s="28">
        <v>0.71378081759039491</v>
      </c>
      <c r="I166" s="28">
        <v>97.524799999999999</v>
      </c>
      <c r="J166" s="28">
        <v>2.4752000000000001</v>
      </c>
      <c r="K166" s="28">
        <v>88.571399999999997</v>
      </c>
      <c r="L166" s="28">
        <v>88</v>
      </c>
      <c r="M166" s="28">
        <v>100</v>
      </c>
      <c r="N166" s="28">
        <v>699.07164</v>
      </c>
      <c r="O166" s="28">
        <v>107.5</v>
      </c>
      <c r="P166" s="28">
        <v>591.29999999999995</v>
      </c>
      <c r="Q166" s="28">
        <v>0.27163999999999999</v>
      </c>
      <c r="R166" s="28">
        <v>122.743312</v>
      </c>
      <c r="S166" s="28">
        <v>100</v>
      </c>
      <c r="T166" s="28">
        <v>0.95</v>
      </c>
      <c r="U166" t="s">
        <v>17</v>
      </c>
    </row>
    <row r="167" spans="1:21" x14ac:dyDescent="0.25">
      <c r="A167" t="s">
        <v>33</v>
      </c>
      <c r="B167">
        <v>300</v>
      </c>
      <c r="C167">
        <v>105</v>
      </c>
      <c r="D167">
        <v>4</v>
      </c>
      <c r="E167" s="28">
        <v>0.110177</v>
      </c>
      <c r="F167" s="28">
        <v>94.333299999999994</v>
      </c>
      <c r="G167" s="28">
        <v>67.333299999999994</v>
      </c>
      <c r="H167" s="28">
        <v>0.71378081759039491</v>
      </c>
      <c r="I167" s="28">
        <v>97.524799999999999</v>
      </c>
      <c r="J167" s="28">
        <v>2.4752000000000001</v>
      </c>
      <c r="K167" s="28">
        <v>88.571399999999997</v>
      </c>
      <c r="L167" s="28">
        <v>88</v>
      </c>
      <c r="M167" s="28">
        <v>100</v>
      </c>
      <c r="N167" s="28">
        <v>699.07164</v>
      </c>
      <c r="O167" s="28">
        <v>107.5</v>
      </c>
      <c r="P167" s="28">
        <v>591.29999999999995</v>
      </c>
      <c r="Q167" s="28">
        <v>0.27163999999999999</v>
      </c>
      <c r="R167" s="28">
        <v>122.775284</v>
      </c>
      <c r="S167" s="28">
        <v>100</v>
      </c>
      <c r="T167" s="28">
        <v>0.95</v>
      </c>
      <c r="U167" t="s">
        <v>17</v>
      </c>
    </row>
    <row r="168" spans="1:21" x14ac:dyDescent="0.25">
      <c r="A168" t="s">
        <v>33</v>
      </c>
      <c r="B168">
        <v>300</v>
      </c>
      <c r="C168">
        <v>105</v>
      </c>
      <c r="D168">
        <v>4</v>
      </c>
      <c r="E168" s="28">
        <v>0.113827</v>
      </c>
      <c r="F168" s="28">
        <v>94.333299999999994</v>
      </c>
      <c r="G168" s="28">
        <v>67.333299999999994</v>
      </c>
      <c r="H168" s="28">
        <v>0.71378081759039491</v>
      </c>
      <c r="I168" s="28">
        <v>97.524799999999999</v>
      </c>
      <c r="J168" s="28">
        <v>2.4752000000000001</v>
      </c>
      <c r="K168" s="28">
        <v>88.571399999999997</v>
      </c>
      <c r="L168" s="28">
        <v>88</v>
      </c>
      <c r="M168" s="28">
        <v>100</v>
      </c>
      <c r="N168" s="28">
        <v>699.07164</v>
      </c>
      <c r="O168" s="28">
        <v>107.5</v>
      </c>
      <c r="P168" s="28">
        <v>591.29999999999995</v>
      </c>
      <c r="Q168" s="28">
        <v>0.27163999999999999</v>
      </c>
      <c r="R168" s="28">
        <v>122.711489</v>
      </c>
      <c r="S168" s="28">
        <v>100</v>
      </c>
      <c r="T168" s="28">
        <v>0.95</v>
      </c>
      <c r="U168" t="s">
        <v>17</v>
      </c>
    </row>
    <row r="169" spans="1:21" x14ac:dyDescent="0.25">
      <c r="A169" t="s">
        <v>33</v>
      </c>
      <c r="B169">
        <v>300</v>
      </c>
      <c r="C169">
        <v>105</v>
      </c>
      <c r="D169">
        <v>4</v>
      </c>
      <c r="E169" s="28">
        <v>0.10902199999999999</v>
      </c>
      <c r="F169" s="28">
        <v>94.333299999999994</v>
      </c>
      <c r="G169" s="28">
        <v>67.333299999999994</v>
      </c>
      <c r="H169" s="28">
        <v>0.71378081759039491</v>
      </c>
      <c r="I169" s="28">
        <v>97.524799999999999</v>
      </c>
      <c r="J169" s="28">
        <v>2.4752000000000001</v>
      </c>
      <c r="K169" s="28">
        <v>88.571399999999997</v>
      </c>
      <c r="L169" s="28">
        <v>88</v>
      </c>
      <c r="M169" s="28">
        <v>100</v>
      </c>
      <c r="N169" s="28">
        <v>699.07164</v>
      </c>
      <c r="O169" s="28">
        <v>107.5</v>
      </c>
      <c r="P169" s="28">
        <v>591.29999999999995</v>
      </c>
      <c r="Q169" s="28">
        <v>0.27163999999999999</v>
      </c>
      <c r="R169" s="28">
        <v>122.71138000000001</v>
      </c>
      <c r="S169" s="28">
        <v>100</v>
      </c>
      <c r="T169" s="28">
        <v>0.95</v>
      </c>
      <c r="U169" t="s">
        <v>17</v>
      </c>
    </row>
    <row r="170" spans="1:21" x14ac:dyDescent="0.25">
      <c r="A170" t="s">
        <v>33</v>
      </c>
      <c r="B170">
        <v>300</v>
      </c>
      <c r="C170">
        <v>105</v>
      </c>
      <c r="D170">
        <v>4</v>
      </c>
      <c r="E170" s="28">
        <v>0.11002199999999999</v>
      </c>
      <c r="F170" s="28">
        <v>94.333299999999994</v>
      </c>
      <c r="G170" s="28">
        <v>67.333299999999994</v>
      </c>
      <c r="H170" s="28">
        <v>0.71378081759039491</v>
      </c>
      <c r="I170" s="28">
        <v>97.524799999999999</v>
      </c>
      <c r="J170" s="28">
        <v>2.4752000000000001</v>
      </c>
      <c r="K170" s="28">
        <v>88.571399999999997</v>
      </c>
      <c r="L170" s="28">
        <v>88</v>
      </c>
      <c r="M170" s="28">
        <v>100</v>
      </c>
      <c r="N170" s="28">
        <v>699.07164</v>
      </c>
      <c r="O170" s="28">
        <v>107.5</v>
      </c>
      <c r="P170" s="28">
        <v>591.29999999999995</v>
      </c>
      <c r="Q170" s="28">
        <v>0.27163999999999999</v>
      </c>
      <c r="R170" s="28">
        <v>122.74341699999999</v>
      </c>
      <c r="S170" s="28">
        <v>100</v>
      </c>
      <c r="T170" s="28">
        <v>0.95</v>
      </c>
      <c r="U170" t="s">
        <v>17</v>
      </c>
    </row>
    <row r="171" spans="1:21" x14ac:dyDescent="0.25">
      <c r="A171" t="s">
        <v>33</v>
      </c>
      <c r="B171">
        <v>300</v>
      </c>
      <c r="C171">
        <v>105</v>
      </c>
      <c r="D171">
        <v>4</v>
      </c>
      <c r="E171" s="28">
        <v>0.112244</v>
      </c>
      <c r="F171" s="28">
        <v>94.333299999999994</v>
      </c>
      <c r="G171" s="28">
        <v>67.333299999999994</v>
      </c>
      <c r="H171" s="28">
        <v>0.71378081759039491</v>
      </c>
      <c r="I171" s="28">
        <v>97.524799999999999</v>
      </c>
      <c r="J171" s="28">
        <v>2.4752000000000001</v>
      </c>
      <c r="K171" s="28">
        <v>88.571399999999997</v>
      </c>
      <c r="L171" s="28">
        <v>88</v>
      </c>
      <c r="M171" s="28">
        <v>100</v>
      </c>
      <c r="N171" s="28">
        <v>699.07164</v>
      </c>
      <c r="O171" s="28">
        <v>107.5</v>
      </c>
      <c r="P171" s="28">
        <v>591.29999999999995</v>
      </c>
      <c r="Q171" s="28">
        <v>0.27163999999999999</v>
      </c>
      <c r="R171" s="28">
        <v>122.77525</v>
      </c>
      <c r="S171" s="28">
        <v>100</v>
      </c>
      <c r="T171" s="28">
        <v>0.95</v>
      </c>
      <c r="U171" t="s">
        <v>17</v>
      </c>
    </row>
    <row r="172" spans="1:21" x14ac:dyDescent="0.25">
      <c r="A172" t="s">
        <v>33</v>
      </c>
      <c r="B172">
        <v>300</v>
      </c>
      <c r="C172">
        <v>105</v>
      </c>
      <c r="D172">
        <v>4</v>
      </c>
      <c r="E172" s="28">
        <v>0.11026</v>
      </c>
      <c r="F172" s="28">
        <v>94.333299999999994</v>
      </c>
      <c r="G172" s="28">
        <v>67.333299999999994</v>
      </c>
      <c r="H172" s="28">
        <v>0.71378081759039491</v>
      </c>
      <c r="I172" s="28">
        <v>97.524799999999999</v>
      </c>
      <c r="J172" s="28">
        <v>2.4752000000000001</v>
      </c>
      <c r="K172" s="28">
        <v>88.571399999999997</v>
      </c>
      <c r="L172" s="28">
        <v>88</v>
      </c>
      <c r="M172" s="28">
        <v>100</v>
      </c>
      <c r="N172" s="28">
        <v>699.07164</v>
      </c>
      <c r="O172" s="28">
        <v>107.5</v>
      </c>
      <c r="P172" s="28">
        <v>591.29999999999995</v>
      </c>
      <c r="Q172" s="28">
        <v>0.27163999999999999</v>
      </c>
      <c r="R172" s="28">
        <v>122.64762</v>
      </c>
      <c r="S172" s="28">
        <v>100</v>
      </c>
      <c r="T172" s="28">
        <v>0.95</v>
      </c>
      <c r="U172" t="s">
        <v>17</v>
      </c>
    </row>
    <row r="173" spans="1:21" x14ac:dyDescent="0.25">
      <c r="A173" t="s">
        <v>33</v>
      </c>
      <c r="B173">
        <v>300</v>
      </c>
      <c r="C173">
        <v>105</v>
      </c>
      <c r="D173">
        <v>4</v>
      </c>
      <c r="E173" s="28">
        <v>0.11147799999999999</v>
      </c>
      <c r="F173" s="28">
        <v>94.333299999999994</v>
      </c>
      <c r="G173" s="28">
        <v>67.333299999999994</v>
      </c>
      <c r="H173" s="28">
        <v>0.71378081759039491</v>
      </c>
      <c r="I173" s="28">
        <v>97.524799999999999</v>
      </c>
      <c r="J173" s="28">
        <v>2.4752000000000001</v>
      </c>
      <c r="K173" s="28">
        <v>88.571399999999997</v>
      </c>
      <c r="L173" s="28">
        <v>88</v>
      </c>
      <c r="M173" s="28">
        <v>100</v>
      </c>
      <c r="N173" s="28">
        <v>699.07164</v>
      </c>
      <c r="O173" s="28">
        <v>107.5</v>
      </c>
      <c r="P173" s="28">
        <v>591.29999999999995</v>
      </c>
      <c r="Q173" s="28">
        <v>0.27163999999999999</v>
      </c>
      <c r="R173" s="28">
        <v>122.67961099999999</v>
      </c>
      <c r="S173" s="28">
        <v>100</v>
      </c>
      <c r="T173" s="28">
        <v>0.95</v>
      </c>
      <c r="U173" t="s">
        <v>17</v>
      </c>
    </row>
    <row r="174" spans="1:21" x14ac:dyDescent="0.25">
      <c r="A174" t="s">
        <v>33</v>
      </c>
      <c r="B174">
        <v>300</v>
      </c>
      <c r="C174">
        <v>105</v>
      </c>
      <c r="D174">
        <v>4</v>
      </c>
      <c r="E174" s="28">
        <v>0.109234</v>
      </c>
      <c r="F174" s="28">
        <v>94.333299999999994</v>
      </c>
      <c r="G174" s="28">
        <v>67.333299999999994</v>
      </c>
      <c r="H174" s="28">
        <v>0.71378081759039491</v>
      </c>
      <c r="I174" s="28">
        <v>97.524799999999999</v>
      </c>
      <c r="J174" s="28">
        <v>2.4752000000000001</v>
      </c>
      <c r="K174" s="28">
        <v>88.571399999999997</v>
      </c>
      <c r="L174" s="28">
        <v>88</v>
      </c>
      <c r="M174" s="28">
        <v>100</v>
      </c>
      <c r="N174" s="28">
        <v>699.07164</v>
      </c>
      <c r="O174" s="28">
        <v>107.5</v>
      </c>
      <c r="P174" s="28">
        <v>591.29999999999995</v>
      </c>
      <c r="Q174" s="28">
        <v>0.27163999999999999</v>
      </c>
      <c r="R174" s="28">
        <v>122.679473</v>
      </c>
      <c r="S174" s="28">
        <v>100</v>
      </c>
      <c r="T174" s="28">
        <v>0.95</v>
      </c>
      <c r="U174" t="s">
        <v>17</v>
      </c>
    </row>
    <row r="175" spans="1:21" x14ac:dyDescent="0.25">
      <c r="A175" t="s">
        <v>33</v>
      </c>
      <c r="B175">
        <v>300</v>
      </c>
      <c r="C175">
        <v>105</v>
      </c>
      <c r="D175">
        <v>4</v>
      </c>
      <c r="E175" s="28">
        <v>0.117649</v>
      </c>
      <c r="F175" s="28">
        <v>94.333299999999994</v>
      </c>
      <c r="G175" s="28">
        <v>67.333299999999994</v>
      </c>
      <c r="H175" s="28">
        <v>0.71378081759039491</v>
      </c>
      <c r="I175" s="28">
        <v>97.524799999999999</v>
      </c>
      <c r="J175" s="28">
        <v>2.4752000000000001</v>
      </c>
      <c r="K175" s="28">
        <v>88.571399999999997</v>
      </c>
      <c r="L175" s="28">
        <v>88</v>
      </c>
      <c r="M175" s="28">
        <v>100</v>
      </c>
      <c r="N175" s="28">
        <v>699.07164</v>
      </c>
      <c r="O175" s="28">
        <v>107.5</v>
      </c>
      <c r="P175" s="28">
        <v>591.29999999999995</v>
      </c>
      <c r="Q175" s="28">
        <v>0.27163999999999999</v>
      </c>
      <c r="R175" s="28">
        <v>122.775257</v>
      </c>
      <c r="S175" s="28">
        <v>100</v>
      </c>
      <c r="T175" s="28">
        <v>0.95</v>
      </c>
      <c r="U175" t="s">
        <v>17</v>
      </c>
    </row>
    <row r="176" spans="1:21" x14ac:dyDescent="0.25">
      <c r="A176" t="s">
        <v>33</v>
      </c>
      <c r="B176">
        <v>300</v>
      </c>
      <c r="C176">
        <v>105</v>
      </c>
      <c r="D176">
        <v>4</v>
      </c>
      <c r="E176" s="28">
        <v>0.111912</v>
      </c>
      <c r="F176" s="28">
        <v>94.333299999999994</v>
      </c>
      <c r="G176" s="28">
        <v>67.333299999999994</v>
      </c>
      <c r="H176" s="28">
        <v>0.71378081759039491</v>
      </c>
      <c r="I176" s="28">
        <v>97.524799999999999</v>
      </c>
      <c r="J176" s="28">
        <v>2.4752000000000001</v>
      </c>
      <c r="K176" s="28">
        <v>88.571399999999997</v>
      </c>
      <c r="L176" s="28">
        <v>88</v>
      </c>
      <c r="M176" s="28">
        <v>100</v>
      </c>
      <c r="N176" s="28">
        <v>699.07164</v>
      </c>
      <c r="O176" s="28">
        <v>107.5</v>
      </c>
      <c r="P176" s="28">
        <v>591.29999999999995</v>
      </c>
      <c r="Q176" s="28">
        <v>0.27163999999999999</v>
      </c>
      <c r="R176" s="28">
        <v>122.743312</v>
      </c>
      <c r="S176" s="28">
        <v>100</v>
      </c>
      <c r="T176" s="28">
        <v>0.95</v>
      </c>
      <c r="U176" t="s">
        <v>17</v>
      </c>
    </row>
    <row r="177" spans="1:21" x14ac:dyDescent="0.25">
      <c r="A177" t="s">
        <v>33</v>
      </c>
      <c r="B177">
        <v>300</v>
      </c>
      <c r="C177">
        <v>105</v>
      </c>
      <c r="D177">
        <v>4</v>
      </c>
      <c r="E177" s="28">
        <v>0.112312</v>
      </c>
      <c r="F177" s="28">
        <v>94.333299999999994</v>
      </c>
      <c r="G177" s="28">
        <v>67.333299999999994</v>
      </c>
      <c r="H177" s="28">
        <v>0.71378081759039491</v>
      </c>
      <c r="I177" s="28">
        <v>97.524799999999999</v>
      </c>
      <c r="J177" s="28">
        <v>2.4752000000000001</v>
      </c>
      <c r="K177" s="28">
        <v>88.571399999999997</v>
      </c>
      <c r="L177" s="28">
        <v>88</v>
      </c>
      <c r="M177" s="28">
        <v>100</v>
      </c>
      <c r="N177" s="28">
        <v>699.07164</v>
      </c>
      <c r="O177" s="28">
        <v>107.5</v>
      </c>
      <c r="P177" s="28">
        <v>591.29999999999995</v>
      </c>
      <c r="Q177" s="28">
        <v>0.27163999999999999</v>
      </c>
      <c r="R177" s="28">
        <v>122.743405</v>
      </c>
      <c r="S177" s="28">
        <v>100</v>
      </c>
      <c r="T177" s="28">
        <v>0.95</v>
      </c>
      <c r="U177" t="s">
        <v>17</v>
      </c>
    </row>
    <row r="178" spans="1:21" x14ac:dyDescent="0.25">
      <c r="A178" t="s">
        <v>33</v>
      </c>
      <c r="B178">
        <v>300</v>
      </c>
      <c r="C178">
        <v>105</v>
      </c>
      <c r="D178">
        <v>4</v>
      </c>
      <c r="E178" s="28">
        <v>0.11748500000000001</v>
      </c>
      <c r="F178" s="28">
        <v>94.333299999999994</v>
      </c>
      <c r="G178" s="28">
        <v>67.333299999999994</v>
      </c>
      <c r="H178" s="28">
        <v>0.71378081759039491</v>
      </c>
      <c r="I178" s="28">
        <v>97.524799999999999</v>
      </c>
      <c r="J178" s="28">
        <v>2.4752000000000001</v>
      </c>
      <c r="K178" s="28">
        <v>88.571399999999997</v>
      </c>
      <c r="L178" s="28">
        <v>88</v>
      </c>
      <c r="M178" s="28">
        <v>100</v>
      </c>
      <c r="N178" s="28">
        <v>699.07164</v>
      </c>
      <c r="O178" s="28">
        <v>107.5</v>
      </c>
      <c r="P178" s="28">
        <v>591.29999999999995</v>
      </c>
      <c r="Q178" s="28">
        <v>0.27163999999999999</v>
      </c>
      <c r="R178" s="28">
        <v>122.71140800000001</v>
      </c>
      <c r="S178" s="28">
        <v>100</v>
      </c>
      <c r="T178" s="28">
        <v>0.95</v>
      </c>
      <c r="U178" t="s">
        <v>17</v>
      </c>
    </row>
    <row r="179" spans="1:21" x14ac:dyDescent="0.25">
      <c r="A179" t="s">
        <v>33</v>
      </c>
      <c r="B179">
        <v>300</v>
      </c>
      <c r="C179">
        <v>105</v>
      </c>
      <c r="D179">
        <v>4</v>
      </c>
      <c r="E179" s="28">
        <v>0.114052</v>
      </c>
      <c r="F179" s="28">
        <v>94.333299999999994</v>
      </c>
      <c r="G179" s="28">
        <v>67.333299999999994</v>
      </c>
      <c r="H179" s="28">
        <v>0.71378081759039491</v>
      </c>
      <c r="I179" s="28">
        <v>97.524799999999999</v>
      </c>
      <c r="J179" s="28">
        <v>2.4752000000000001</v>
      </c>
      <c r="K179" s="28">
        <v>88.571399999999997</v>
      </c>
      <c r="L179" s="28">
        <v>88</v>
      </c>
      <c r="M179" s="28">
        <v>100</v>
      </c>
      <c r="N179" s="28">
        <v>699.07164</v>
      </c>
      <c r="O179" s="28">
        <v>107.5</v>
      </c>
      <c r="P179" s="28">
        <v>591.29999999999995</v>
      </c>
      <c r="Q179" s="28">
        <v>0.27163999999999999</v>
      </c>
      <c r="R179" s="28">
        <v>122.711485</v>
      </c>
      <c r="S179" s="28">
        <v>100</v>
      </c>
      <c r="T179" s="28">
        <v>0.95</v>
      </c>
      <c r="U179" t="s">
        <v>17</v>
      </c>
    </row>
    <row r="180" spans="1:21" x14ac:dyDescent="0.25">
      <c r="A180" t="s">
        <v>33</v>
      </c>
      <c r="B180">
        <v>300</v>
      </c>
      <c r="C180">
        <v>105</v>
      </c>
      <c r="D180">
        <v>4</v>
      </c>
      <c r="E180" s="28">
        <v>0.111305</v>
      </c>
      <c r="F180" s="28">
        <v>94.333299999999994</v>
      </c>
      <c r="G180" s="28">
        <v>67.333299999999994</v>
      </c>
      <c r="H180" s="28">
        <v>0.71378081759039491</v>
      </c>
      <c r="I180" s="28">
        <v>97.524799999999999</v>
      </c>
      <c r="J180" s="28">
        <v>2.4752000000000001</v>
      </c>
      <c r="K180" s="28">
        <v>88.571399999999997</v>
      </c>
      <c r="L180" s="28">
        <v>88</v>
      </c>
      <c r="M180" s="28">
        <v>100</v>
      </c>
      <c r="N180" s="28">
        <v>699.07164</v>
      </c>
      <c r="O180" s="28">
        <v>107.5</v>
      </c>
      <c r="P180" s="28">
        <v>591.29999999999995</v>
      </c>
      <c r="Q180" s="28">
        <v>0.27163999999999999</v>
      </c>
      <c r="R180" s="28">
        <v>122.743439</v>
      </c>
      <c r="S180" s="28">
        <v>100</v>
      </c>
      <c r="T180" s="28">
        <v>0.95</v>
      </c>
      <c r="U180" t="s">
        <v>17</v>
      </c>
    </row>
    <row r="181" spans="1:21" x14ac:dyDescent="0.25">
      <c r="A181" t="s">
        <v>33</v>
      </c>
      <c r="B181">
        <v>300</v>
      </c>
      <c r="C181">
        <v>105</v>
      </c>
      <c r="D181">
        <v>4</v>
      </c>
      <c r="E181" s="28">
        <v>0.108268</v>
      </c>
      <c r="F181" s="28">
        <v>94.333299999999994</v>
      </c>
      <c r="G181" s="28">
        <v>67.333299999999994</v>
      </c>
      <c r="H181" s="28">
        <v>0.71378081759039491</v>
      </c>
      <c r="I181" s="28">
        <v>97.524799999999999</v>
      </c>
      <c r="J181" s="28">
        <v>2.4752000000000001</v>
      </c>
      <c r="K181" s="28">
        <v>88.571399999999997</v>
      </c>
      <c r="L181" s="28">
        <v>88</v>
      </c>
      <c r="M181" s="28">
        <v>100</v>
      </c>
      <c r="N181" s="28">
        <v>699.07164</v>
      </c>
      <c r="O181" s="28">
        <v>107.5</v>
      </c>
      <c r="P181" s="28">
        <v>591.29999999999995</v>
      </c>
      <c r="Q181" s="28">
        <v>0.27163999999999999</v>
      </c>
      <c r="R181" s="28">
        <v>122.743433</v>
      </c>
      <c r="S181" s="28">
        <v>100</v>
      </c>
      <c r="T181" s="28">
        <v>0.95</v>
      </c>
      <c r="U181" t="s">
        <v>17</v>
      </c>
    </row>
    <row r="182" spans="1:21" x14ac:dyDescent="0.25">
      <c r="A182" t="s">
        <v>33</v>
      </c>
      <c r="B182">
        <v>300</v>
      </c>
      <c r="C182">
        <v>105</v>
      </c>
      <c r="D182">
        <v>4</v>
      </c>
      <c r="E182" s="28">
        <v>0.11684799999999999</v>
      </c>
      <c r="F182" s="28">
        <v>94.333299999999994</v>
      </c>
      <c r="G182" s="28">
        <v>67.333299999999994</v>
      </c>
      <c r="H182" s="28">
        <v>0.71378081759039491</v>
      </c>
      <c r="I182" s="28">
        <v>97.524799999999999</v>
      </c>
      <c r="J182" s="28">
        <v>2.4752000000000001</v>
      </c>
      <c r="K182" s="28">
        <v>89.523799999999994</v>
      </c>
      <c r="L182" s="28">
        <v>89</v>
      </c>
      <c r="M182" s="28">
        <v>100</v>
      </c>
      <c r="N182" s="28">
        <v>699.07181000000003</v>
      </c>
      <c r="O182" s="28">
        <v>107.5</v>
      </c>
      <c r="P182" s="28">
        <v>591.29999999999995</v>
      </c>
      <c r="Q182" s="28">
        <v>0.27181</v>
      </c>
      <c r="R182" s="28">
        <v>122.86303700000001</v>
      </c>
      <c r="S182" s="28">
        <v>100</v>
      </c>
      <c r="T182" s="28">
        <v>0.95</v>
      </c>
      <c r="U182" t="s">
        <v>17</v>
      </c>
    </row>
    <row r="183" spans="1:21" x14ac:dyDescent="0.25">
      <c r="A183" t="s">
        <v>33</v>
      </c>
      <c r="B183">
        <v>300</v>
      </c>
      <c r="C183">
        <v>105</v>
      </c>
      <c r="D183">
        <v>4</v>
      </c>
      <c r="E183" s="28">
        <v>0.10792400000000001</v>
      </c>
      <c r="F183" s="28">
        <v>94.333299999999994</v>
      </c>
      <c r="G183" s="28">
        <v>67.333299999999994</v>
      </c>
      <c r="H183" s="28">
        <v>0.71378081759039491</v>
      </c>
      <c r="I183" s="28">
        <v>97.524799999999999</v>
      </c>
      <c r="J183" s="28">
        <v>2.4752000000000001</v>
      </c>
      <c r="K183" s="28">
        <v>89.523799999999994</v>
      </c>
      <c r="L183" s="28">
        <v>89</v>
      </c>
      <c r="M183" s="28">
        <v>100</v>
      </c>
      <c r="N183" s="28">
        <v>699.07181000000003</v>
      </c>
      <c r="O183" s="28">
        <v>107.5</v>
      </c>
      <c r="P183" s="28">
        <v>591.29999999999995</v>
      </c>
      <c r="Q183" s="28">
        <v>0.27181</v>
      </c>
      <c r="R183" s="28">
        <v>122.86307100000001</v>
      </c>
      <c r="S183" s="28">
        <v>100</v>
      </c>
      <c r="T183" s="28">
        <v>0.95</v>
      </c>
      <c r="U183" t="s">
        <v>17</v>
      </c>
    </row>
    <row r="184" spans="1:21" x14ac:dyDescent="0.25">
      <c r="A184" t="s">
        <v>33</v>
      </c>
      <c r="B184">
        <v>300</v>
      </c>
      <c r="C184">
        <v>105</v>
      </c>
      <c r="D184">
        <v>4</v>
      </c>
      <c r="E184" s="28">
        <v>0.111233</v>
      </c>
      <c r="F184" s="28">
        <v>94.333299999999994</v>
      </c>
      <c r="G184" s="28">
        <v>67.333299999999994</v>
      </c>
      <c r="H184" s="28">
        <v>0.71378081759039491</v>
      </c>
      <c r="I184" s="28">
        <v>97.524799999999999</v>
      </c>
      <c r="J184" s="28">
        <v>2.4752000000000001</v>
      </c>
      <c r="K184" s="28">
        <v>89.523799999999994</v>
      </c>
      <c r="L184" s="28">
        <v>89</v>
      </c>
      <c r="M184" s="28">
        <v>100</v>
      </c>
      <c r="N184" s="28">
        <v>699.07181000000003</v>
      </c>
      <c r="O184" s="28">
        <v>107.5</v>
      </c>
      <c r="P184" s="28">
        <v>591.29999999999995</v>
      </c>
      <c r="Q184" s="28">
        <v>0.27181</v>
      </c>
      <c r="R184" s="28">
        <v>122.894778</v>
      </c>
      <c r="S184" s="28">
        <v>100</v>
      </c>
      <c r="T184" s="28">
        <v>0.95</v>
      </c>
      <c r="U184" t="s">
        <v>17</v>
      </c>
    </row>
    <row r="185" spans="1:21" x14ac:dyDescent="0.25">
      <c r="A185" t="s">
        <v>33</v>
      </c>
      <c r="B185">
        <v>300</v>
      </c>
      <c r="C185">
        <v>105</v>
      </c>
      <c r="D185">
        <v>4</v>
      </c>
      <c r="E185" s="28">
        <v>0.113083</v>
      </c>
      <c r="F185" s="28">
        <v>94.333299999999994</v>
      </c>
      <c r="G185" s="28">
        <v>67.333299999999994</v>
      </c>
      <c r="H185" s="28">
        <v>0.71378081759039491</v>
      </c>
      <c r="I185" s="28">
        <v>97.524799999999999</v>
      </c>
      <c r="J185" s="28">
        <v>2.4752000000000001</v>
      </c>
      <c r="K185" s="28">
        <v>89.523799999999994</v>
      </c>
      <c r="L185" s="28">
        <v>89</v>
      </c>
      <c r="M185" s="28">
        <v>100</v>
      </c>
      <c r="N185" s="28">
        <v>699.07181000000003</v>
      </c>
      <c r="O185" s="28">
        <v>107.5</v>
      </c>
      <c r="P185" s="28">
        <v>591.29999999999995</v>
      </c>
      <c r="Q185" s="28">
        <v>0.27181</v>
      </c>
      <c r="R185" s="28">
        <v>122.926785</v>
      </c>
      <c r="S185" s="28">
        <v>100</v>
      </c>
      <c r="T185" s="28">
        <v>0.95</v>
      </c>
      <c r="U185" t="s">
        <v>17</v>
      </c>
    </row>
    <row r="186" spans="1:21" x14ac:dyDescent="0.25">
      <c r="A186" t="s">
        <v>33</v>
      </c>
      <c r="B186">
        <v>300</v>
      </c>
      <c r="C186">
        <v>105</v>
      </c>
      <c r="D186">
        <v>4</v>
      </c>
      <c r="E186" s="28">
        <v>0.111626</v>
      </c>
      <c r="F186" s="28">
        <v>94.333299999999994</v>
      </c>
      <c r="G186" s="28">
        <v>67.333299999999994</v>
      </c>
      <c r="H186" s="28">
        <v>0.71378081759039491</v>
      </c>
      <c r="I186" s="28">
        <v>97.524799999999999</v>
      </c>
      <c r="J186" s="28">
        <v>2.4752000000000001</v>
      </c>
      <c r="K186" s="28">
        <v>89.523799999999994</v>
      </c>
      <c r="L186" s="28">
        <v>89</v>
      </c>
      <c r="M186" s="28">
        <v>100</v>
      </c>
      <c r="N186" s="28">
        <v>699.07181000000003</v>
      </c>
      <c r="O186" s="28">
        <v>107.5</v>
      </c>
      <c r="P186" s="28">
        <v>591.29999999999995</v>
      </c>
      <c r="Q186" s="28">
        <v>0.27181</v>
      </c>
      <c r="R186" s="28">
        <v>122.92671</v>
      </c>
      <c r="S186" s="28">
        <v>100</v>
      </c>
      <c r="T186" s="28">
        <v>0.95</v>
      </c>
      <c r="U186" t="s">
        <v>17</v>
      </c>
    </row>
    <row r="187" spans="1:21" x14ac:dyDescent="0.25">
      <c r="A187" t="s">
        <v>33</v>
      </c>
      <c r="B187">
        <v>300</v>
      </c>
      <c r="C187">
        <v>105</v>
      </c>
      <c r="D187">
        <v>4</v>
      </c>
      <c r="E187" s="28">
        <v>0.11169999999999999</v>
      </c>
      <c r="F187" s="28">
        <v>94.333299999999994</v>
      </c>
      <c r="G187" s="28">
        <v>67.333299999999994</v>
      </c>
      <c r="H187" s="28">
        <v>0.71378081759039491</v>
      </c>
      <c r="I187" s="28">
        <v>97.524799999999999</v>
      </c>
      <c r="J187" s="28">
        <v>2.4752000000000001</v>
      </c>
      <c r="K187" s="28">
        <v>89.523799999999994</v>
      </c>
      <c r="L187" s="28">
        <v>89</v>
      </c>
      <c r="M187" s="28">
        <v>100</v>
      </c>
      <c r="N187" s="28">
        <v>699.07181000000003</v>
      </c>
      <c r="O187" s="28">
        <v>107.5</v>
      </c>
      <c r="P187" s="28">
        <v>591.29999999999995</v>
      </c>
      <c r="Q187" s="28">
        <v>0.27181</v>
      </c>
      <c r="R187" s="28">
        <v>122.92685899999999</v>
      </c>
      <c r="S187" s="28">
        <v>100</v>
      </c>
      <c r="T187" s="28">
        <v>0.95</v>
      </c>
      <c r="U187" t="s">
        <v>17</v>
      </c>
    </row>
    <row r="188" spans="1:21" x14ac:dyDescent="0.25">
      <c r="A188" t="s">
        <v>33</v>
      </c>
      <c r="B188">
        <v>300</v>
      </c>
      <c r="C188">
        <v>105</v>
      </c>
      <c r="D188">
        <v>4</v>
      </c>
      <c r="E188" s="28">
        <v>0.11197500000000001</v>
      </c>
      <c r="F188" s="28">
        <v>94.333299999999994</v>
      </c>
      <c r="G188" s="28">
        <v>67.333299999999994</v>
      </c>
      <c r="H188" s="28">
        <v>0.71378081759039491</v>
      </c>
      <c r="I188" s="28">
        <v>97.524799999999999</v>
      </c>
      <c r="J188" s="28">
        <v>2.4752000000000001</v>
      </c>
      <c r="K188" s="28">
        <v>89.523799999999994</v>
      </c>
      <c r="L188" s="28">
        <v>89</v>
      </c>
      <c r="M188" s="28">
        <v>100</v>
      </c>
      <c r="N188" s="28">
        <v>699.07181000000003</v>
      </c>
      <c r="O188" s="28">
        <v>107.5</v>
      </c>
      <c r="P188" s="28">
        <v>591.29999999999995</v>
      </c>
      <c r="Q188" s="28">
        <v>0.27181</v>
      </c>
      <c r="R188" s="28">
        <v>122.92676899999999</v>
      </c>
      <c r="S188" s="28">
        <v>100</v>
      </c>
      <c r="T188" s="28">
        <v>0.95</v>
      </c>
      <c r="U188" t="s">
        <v>17</v>
      </c>
    </row>
    <row r="189" spans="1:21" x14ac:dyDescent="0.25">
      <c r="A189" t="s">
        <v>33</v>
      </c>
      <c r="B189">
        <v>300</v>
      </c>
      <c r="C189">
        <v>105</v>
      </c>
      <c r="D189">
        <v>4</v>
      </c>
      <c r="E189" s="28">
        <v>0.112063</v>
      </c>
      <c r="F189" s="28">
        <v>94.333299999999994</v>
      </c>
      <c r="G189" s="28">
        <v>67.333299999999994</v>
      </c>
      <c r="H189" s="28">
        <v>0.71378081759039491</v>
      </c>
      <c r="I189" s="28">
        <v>97.524799999999999</v>
      </c>
      <c r="J189" s="28">
        <v>2.4752000000000001</v>
      </c>
      <c r="K189" s="28">
        <v>89.523799999999994</v>
      </c>
      <c r="L189" s="28">
        <v>89</v>
      </c>
      <c r="M189" s="28">
        <v>100</v>
      </c>
      <c r="N189" s="28">
        <v>699.07181000000003</v>
      </c>
      <c r="O189" s="28">
        <v>107.5</v>
      </c>
      <c r="P189" s="28">
        <v>591.29999999999995</v>
      </c>
      <c r="Q189" s="28">
        <v>0.27181</v>
      </c>
      <c r="R189" s="28">
        <v>122.862973</v>
      </c>
      <c r="S189" s="28">
        <v>100</v>
      </c>
      <c r="T189" s="28">
        <v>0.95</v>
      </c>
      <c r="U189" t="s">
        <v>17</v>
      </c>
    </row>
    <row r="190" spans="1:21" x14ac:dyDescent="0.25">
      <c r="A190" t="s">
        <v>33</v>
      </c>
      <c r="B190">
        <v>300</v>
      </c>
      <c r="C190">
        <v>105</v>
      </c>
      <c r="D190">
        <v>4</v>
      </c>
      <c r="E190" s="28">
        <v>0.11071499999999999</v>
      </c>
      <c r="F190" s="28">
        <v>94.333299999999994</v>
      </c>
      <c r="G190" s="28">
        <v>67.333299999999994</v>
      </c>
      <c r="H190" s="28">
        <v>0.71378081759039491</v>
      </c>
      <c r="I190" s="28">
        <v>97.524799999999999</v>
      </c>
      <c r="J190" s="28">
        <v>2.4752000000000001</v>
      </c>
      <c r="K190" s="28">
        <v>89.523799999999994</v>
      </c>
      <c r="L190" s="28">
        <v>89</v>
      </c>
      <c r="M190" s="28">
        <v>100</v>
      </c>
      <c r="N190" s="28">
        <v>699.07181000000003</v>
      </c>
      <c r="O190" s="28">
        <v>107.5</v>
      </c>
      <c r="P190" s="28">
        <v>591.29999999999995</v>
      </c>
      <c r="Q190" s="28">
        <v>0.27181</v>
      </c>
      <c r="R190" s="28">
        <v>122.89490499999999</v>
      </c>
      <c r="S190" s="28">
        <v>100</v>
      </c>
      <c r="T190" s="28">
        <v>0.95</v>
      </c>
      <c r="U190" t="s">
        <v>17</v>
      </c>
    </row>
    <row r="191" spans="1:21" x14ac:dyDescent="0.25">
      <c r="A191" t="s">
        <v>33</v>
      </c>
      <c r="B191">
        <v>300</v>
      </c>
      <c r="C191">
        <v>105</v>
      </c>
      <c r="D191">
        <v>4</v>
      </c>
      <c r="E191" s="28">
        <v>0.111028</v>
      </c>
      <c r="F191" s="28">
        <v>94.333299999999994</v>
      </c>
      <c r="G191" s="28">
        <v>67.333299999999994</v>
      </c>
      <c r="H191" s="28">
        <v>0.71378081759039491</v>
      </c>
      <c r="I191" s="28">
        <v>97.524799999999999</v>
      </c>
      <c r="J191" s="28">
        <v>2.4752000000000001</v>
      </c>
      <c r="K191" s="28">
        <v>89.523799999999994</v>
      </c>
      <c r="L191" s="28">
        <v>89</v>
      </c>
      <c r="M191" s="28">
        <v>100</v>
      </c>
      <c r="N191" s="28">
        <v>699.07181000000003</v>
      </c>
      <c r="O191" s="28">
        <v>107.5</v>
      </c>
      <c r="P191" s="28">
        <v>591.29999999999995</v>
      </c>
      <c r="Q191" s="28">
        <v>0.27181</v>
      </c>
      <c r="R191" s="28">
        <v>122.894548</v>
      </c>
      <c r="S191" s="28">
        <v>100</v>
      </c>
      <c r="T191" s="28">
        <v>0.95</v>
      </c>
      <c r="U191" t="s">
        <v>17</v>
      </c>
    </row>
    <row r="192" spans="1:21" x14ac:dyDescent="0.25">
      <c r="A192" t="s">
        <v>33</v>
      </c>
      <c r="B192">
        <v>300</v>
      </c>
      <c r="C192">
        <v>105</v>
      </c>
      <c r="D192">
        <v>4</v>
      </c>
      <c r="E192" s="28">
        <v>0.11235199999999999</v>
      </c>
      <c r="F192" s="28">
        <v>94.333299999999994</v>
      </c>
      <c r="G192" s="28">
        <v>67.333299999999994</v>
      </c>
      <c r="H192" s="28">
        <v>0.71378081759039491</v>
      </c>
      <c r="I192" s="28">
        <v>97.524799999999999</v>
      </c>
      <c r="J192" s="28">
        <v>2.4752000000000001</v>
      </c>
      <c r="K192" s="28">
        <v>89.523799999999994</v>
      </c>
      <c r="L192" s="28">
        <v>89</v>
      </c>
      <c r="M192" s="28">
        <v>100</v>
      </c>
      <c r="N192" s="28">
        <v>699.07181000000003</v>
      </c>
      <c r="O192" s="28">
        <v>107.5</v>
      </c>
      <c r="P192" s="28">
        <v>591.29999999999995</v>
      </c>
      <c r="Q192" s="28">
        <v>0.27181</v>
      </c>
      <c r="R192" s="28">
        <v>122.958702</v>
      </c>
      <c r="S192" s="28">
        <v>100</v>
      </c>
      <c r="T192" s="28">
        <v>0.95</v>
      </c>
      <c r="U192" t="s">
        <v>17</v>
      </c>
    </row>
    <row r="193" spans="1:21" x14ac:dyDescent="0.25">
      <c r="A193" t="s">
        <v>33</v>
      </c>
      <c r="B193">
        <v>300</v>
      </c>
      <c r="C193">
        <v>105</v>
      </c>
      <c r="D193">
        <v>4</v>
      </c>
      <c r="E193" s="28">
        <v>0.1116</v>
      </c>
      <c r="F193" s="28">
        <v>94.333299999999994</v>
      </c>
      <c r="G193" s="28">
        <v>67.333299999999994</v>
      </c>
      <c r="H193" s="28">
        <v>0.71378081759039491</v>
      </c>
      <c r="I193" s="28">
        <v>97.524799999999999</v>
      </c>
      <c r="J193" s="28">
        <v>2.4752000000000001</v>
      </c>
      <c r="K193" s="28">
        <v>89.523799999999994</v>
      </c>
      <c r="L193" s="28">
        <v>89</v>
      </c>
      <c r="M193" s="28">
        <v>100</v>
      </c>
      <c r="N193" s="28">
        <v>699.07181000000003</v>
      </c>
      <c r="O193" s="28">
        <v>107.5</v>
      </c>
      <c r="P193" s="28">
        <v>591.29999999999995</v>
      </c>
      <c r="Q193" s="28">
        <v>0.27181</v>
      </c>
      <c r="R193" s="28">
        <v>122.83110499999999</v>
      </c>
      <c r="S193" s="28">
        <v>100</v>
      </c>
      <c r="T193" s="28">
        <v>0.95</v>
      </c>
      <c r="U193" t="s">
        <v>17</v>
      </c>
    </row>
    <row r="194" spans="1:21" x14ac:dyDescent="0.25">
      <c r="A194" t="s">
        <v>33</v>
      </c>
      <c r="B194">
        <v>300</v>
      </c>
      <c r="C194">
        <v>105</v>
      </c>
      <c r="D194">
        <v>4</v>
      </c>
      <c r="E194" s="28">
        <v>0.11179600000000001</v>
      </c>
      <c r="F194" s="28">
        <v>94.333299999999994</v>
      </c>
      <c r="G194" s="28">
        <v>67.333299999999994</v>
      </c>
      <c r="H194" s="28">
        <v>0.71378081759039491</v>
      </c>
      <c r="I194" s="28">
        <v>97.524799999999999</v>
      </c>
      <c r="J194" s="28">
        <v>2.4752000000000001</v>
      </c>
      <c r="K194" s="28">
        <v>89.523799999999994</v>
      </c>
      <c r="L194" s="28">
        <v>89</v>
      </c>
      <c r="M194" s="28">
        <v>100</v>
      </c>
      <c r="N194" s="28">
        <v>699.07181000000003</v>
      </c>
      <c r="O194" s="28">
        <v>107.5</v>
      </c>
      <c r="P194" s="28">
        <v>591.29999999999995</v>
      </c>
      <c r="Q194" s="28">
        <v>0.27181</v>
      </c>
      <c r="R194" s="28">
        <v>122.83119600000001</v>
      </c>
      <c r="S194" s="28">
        <v>100</v>
      </c>
      <c r="T194" s="28">
        <v>0.95</v>
      </c>
      <c r="U194" t="s">
        <v>17</v>
      </c>
    </row>
    <row r="195" spans="1:21" x14ac:dyDescent="0.25">
      <c r="A195" t="s">
        <v>33</v>
      </c>
      <c r="B195">
        <v>300</v>
      </c>
      <c r="C195">
        <v>105</v>
      </c>
      <c r="D195">
        <v>4</v>
      </c>
      <c r="E195" s="28">
        <v>0.10996400000000001</v>
      </c>
      <c r="F195" s="28">
        <v>94.333299999999994</v>
      </c>
      <c r="G195" s="28">
        <v>67.333299999999994</v>
      </c>
      <c r="H195" s="28">
        <v>0.71378081759039491</v>
      </c>
      <c r="I195" s="28">
        <v>97.524799999999999</v>
      </c>
      <c r="J195" s="28">
        <v>2.4752000000000001</v>
      </c>
      <c r="K195" s="28">
        <v>89.523799999999994</v>
      </c>
      <c r="L195" s="28">
        <v>89</v>
      </c>
      <c r="M195" s="28">
        <v>100</v>
      </c>
      <c r="N195" s="28">
        <v>699.07181000000003</v>
      </c>
      <c r="O195" s="28">
        <v>107.5</v>
      </c>
      <c r="P195" s="28">
        <v>591.29999999999995</v>
      </c>
      <c r="Q195" s="28">
        <v>0.27181</v>
      </c>
      <c r="R195" s="28">
        <v>122.92687100000001</v>
      </c>
      <c r="S195" s="28">
        <v>100</v>
      </c>
      <c r="T195" s="28">
        <v>0.95</v>
      </c>
      <c r="U195" t="s">
        <v>17</v>
      </c>
    </row>
    <row r="196" spans="1:21" x14ac:dyDescent="0.25">
      <c r="A196" t="s">
        <v>33</v>
      </c>
      <c r="B196">
        <v>300</v>
      </c>
      <c r="C196">
        <v>105</v>
      </c>
      <c r="D196">
        <v>4</v>
      </c>
      <c r="E196" s="28">
        <v>0.11673500000000001</v>
      </c>
      <c r="F196" s="28">
        <v>94.333299999999994</v>
      </c>
      <c r="G196" s="28">
        <v>67.333299999999994</v>
      </c>
      <c r="H196" s="28">
        <v>0.71378081759039491</v>
      </c>
      <c r="I196" s="28">
        <v>97.524799999999999</v>
      </c>
      <c r="J196" s="28">
        <v>2.4752000000000001</v>
      </c>
      <c r="K196" s="28">
        <v>89.523799999999994</v>
      </c>
      <c r="L196" s="28">
        <v>89</v>
      </c>
      <c r="M196" s="28">
        <v>100</v>
      </c>
      <c r="N196" s="28">
        <v>699.07249000000002</v>
      </c>
      <c r="O196" s="28">
        <v>107.5</v>
      </c>
      <c r="P196" s="28">
        <v>591.29999999999995</v>
      </c>
      <c r="Q196" s="28">
        <v>0.27249000000000001</v>
      </c>
      <c r="R196" s="28">
        <v>122.771366</v>
      </c>
      <c r="S196" s="28">
        <v>100</v>
      </c>
      <c r="T196" s="28">
        <v>0.95</v>
      </c>
      <c r="U196" t="s">
        <v>17</v>
      </c>
    </row>
    <row r="197" spans="1:21" x14ac:dyDescent="0.25">
      <c r="A197" t="s">
        <v>33</v>
      </c>
      <c r="B197">
        <v>300</v>
      </c>
      <c r="C197">
        <v>105</v>
      </c>
      <c r="D197">
        <v>4</v>
      </c>
      <c r="E197" s="28">
        <v>0.10920199999999999</v>
      </c>
      <c r="F197" s="28">
        <v>94.333299999999994</v>
      </c>
      <c r="G197" s="28">
        <v>67.333299999999994</v>
      </c>
      <c r="H197" s="28">
        <v>0.71378081759039491</v>
      </c>
      <c r="I197" s="28">
        <v>97.524799999999999</v>
      </c>
      <c r="J197" s="28">
        <v>2.4752000000000001</v>
      </c>
      <c r="K197" s="28">
        <v>89.523799999999994</v>
      </c>
      <c r="L197" s="28">
        <v>89</v>
      </c>
      <c r="M197" s="28">
        <v>100</v>
      </c>
      <c r="N197" s="28">
        <v>699.07249000000002</v>
      </c>
      <c r="O197" s="28">
        <v>107.5</v>
      </c>
      <c r="P197" s="28">
        <v>591.29999999999995</v>
      </c>
      <c r="Q197" s="28">
        <v>0.27249000000000001</v>
      </c>
      <c r="R197" s="28">
        <v>122.83499399999999</v>
      </c>
      <c r="S197" s="28">
        <v>100</v>
      </c>
      <c r="T197" s="28">
        <v>0.95</v>
      </c>
      <c r="U197" t="s">
        <v>17</v>
      </c>
    </row>
    <row r="198" spans="1:21" x14ac:dyDescent="0.25">
      <c r="A198" t="s">
        <v>33</v>
      </c>
      <c r="B198">
        <v>300</v>
      </c>
      <c r="C198">
        <v>105</v>
      </c>
      <c r="D198">
        <v>4</v>
      </c>
      <c r="E198" s="28">
        <v>0.107504</v>
      </c>
      <c r="F198" s="28">
        <v>94.333299999999994</v>
      </c>
      <c r="G198" s="28">
        <v>67.333299999999994</v>
      </c>
      <c r="H198" s="28">
        <v>0.71378081759039491</v>
      </c>
      <c r="I198" s="28">
        <v>97.524799999999999</v>
      </c>
      <c r="J198" s="28">
        <v>2.4752000000000001</v>
      </c>
      <c r="K198" s="28">
        <v>89.523799999999994</v>
      </c>
      <c r="L198" s="28">
        <v>89</v>
      </c>
      <c r="M198" s="28">
        <v>100</v>
      </c>
      <c r="N198" s="28">
        <v>699.07249000000002</v>
      </c>
      <c r="O198" s="28">
        <v>107.5</v>
      </c>
      <c r="P198" s="28">
        <v>591.29999999999995</v>
      </c>
      <c r="Q198" s="28">
        <v>0.27249000000000001</v>
      </c>
      <c r="R198" s="28">
        <v>122.80313599999999</v>
      </c>
      <c r="S198" s="28">
        <v>100</v>
      </c>
      <c r="T198" s="28">
        <v>0.95</v>
      </c>
      <c r="U198" t="s">
        <v>17</v>
      </c>
    </row>
    <row r="199" spans="1:21" x14ac:dyDescent="0.25">
      <c r="A199" t="s">
        <v>33</v>
      </c>
      <c r="B199">
        <v>300</v>
      </c>
      <c r="C199">
        <v>105</v>
      </c>
      <c r="D199">
        <v>4</v>
      </c>
      <c r="E199" s="28">
        <v>0.112485</v>
      </c>
      <c r="F199" s="28">
        <v>94.333299999999994</v>
      </c>
      <c r="G199" s="28">
        <v>67.333299999999994</v>
      </c>
      <c r="H199" s="28">
        <v>0.71378081759039491</v>
      </c>
      <c r="I199" s="28">
        <v>97.524799999999999</v>
      </c>
      <c r="J199" s="28">
        <v>2.4752000000000001</v>
      </c>
      <c r="K199" s="28">
        <v>89.523799999999994</v>
      </c>
      <c r="L199" s="28">
        <v>89</v>
      </c>
      <c r="M199" s="28">
        <v>100</v>
      </c>
      <c r="N199" s="28">
        <v>699.07249000000002</v>
      </c>
      <c r="O199" s="28">
        <v>107.5</v>
      </c>
      <c r="P199" s="28">
        <v>591.29999999999995</v>
      </c>
      <c r="Q199" s="28">
        <v>0.27249000000000001</v>
      </c>
      <c r="R199" s="28">
        <v>122.77144800000001</v>
      </c>
      <c r="S199" s="28">
        <v>100</v>
      </c>
      <c r="T199" s="28">
        <v>0.95</v>
      </c>
      <c r="U199" t="s">
        <v>17</v>
      </c>
    </row>
    <row r="200" spans="1:21" x14ac:dyDescent="0.25">
      <c r="A200" t="s">
        <v>33</v>
      </c>
      <c r="B200">
        <v>300</v>
      </c>
      <c r="C200">
        <v>105</v>
      </c>
      <c r="D200">
        <v>4</v>
      </c>
      <c r="E200" s="28">
        <v>0.111439</v>
      </c>
      <c r="F200" s="28">
        <v>94.333299999999994</v>
      </c>
      <c r="G200" s="28">
        <v>67.333299999999994</v>
      </c>
      <c r="H200" s="28">
        <v>0.71378081759039491</v>
      </c>
      <c r="I200" s="28">
        <v>97.524799999999999</v>
      </c>
      <c r="J200" s="28">
        <v>2.4752000000000001</v>
      </c>
      <c r="K200" s="28">
        <v>89.523799999999994</v>
      </c>
      <c r="L200" s="28">
        <v>89</v>
      </c>
      <c r="M200" s="28">
        <v>100</v>
      </c>
      <c r="N200" s="28">
        <v>699.07249000000002</v>
      </c>
      <c r="O200" s="28">
        <v>107.5</v>
      </c>
      <c r="P200" s="28">
        <v>591.29999999999995</v>
      </c>
      <c r="Q200" s="28">
        <v>0.27249000000000001</v>
      </c>
      <c r="R200" s="28">
        <v>122.771294</v>
      </c>
      <c r="S200" s="28">
        <v>100</v>
      </c>
      <c r="T200" s="28">
        <v>0.95</v>
      </c>
      <c r="U200" t="s">
        <v>17</v>
      </c>
    </row>
    <row r="201" spans="1:21" x14ac:dyDescent="0.25">
      <c r="A201" t="s">
        <v>33</v>
      </c>
      <c r="B201">
        <v>300</v>
      </c>
      <c r="C201">
        <v>105</v>
      </c>
      <c r="D201">
        <v>4</v>
      </c>
      <c r="E201" s="28">
        <v>0.1101</v>
      </c>
      <c r="F201" s="28">
        <v>94.333299999999994</v>
      </c>
      <c r="G201" s="28">
        <v>67.333299999999994</v>
      </c>
      <c r="H201" s="28">
        <v>0.71378081759039491</v>
      </c>
      <c r="I201" s="28">
        <v>97.524799999999999</v>
      </c>
      <c r="J201" s="28">
        <v>2.4752000000000001</v>
      </c>
      <c r="K201" s="28">
        <v>89.523799999999994</v>
      </c>
      <c r="L201" s="28">
        <v>89</v>
      </c>
      <c r="M201" s="28">
        <v>100</v>
      </c>
      <c r="N201" s="28">
        <v>699.07249000000002</v>
      </c>
      <c r="O201" s="28">
        <v>107.5</v>
      </c>
      <c r="P201" s="28">
        <v>591.29999999999995</v>
      </c>
      <c r="Q201" s="28">
        <v>0.27249000000000001</v>
      </c>
      <c r="R201" s="28">
        <v>122.835081</v>
      </c>
      <c r="S201" s="28">
        <v>100</v>
      </c>
      <c r="T201" s="28">
        <v>0.95</v>
      </c>
      <c r="U201" t="s">
        <v>17</v>
      </c>
    </row>
    <row r="202" spans="1:21" x14ac:dyDescent="0.25">
      <c r="A202" t="s">
        <v>33</v>
      </c>
      <c r="B202">
        <v>300</v>
      </c>
      <c r="C202">
        <v>105</v>
      </c>
      <c r="D202">
        <v>4</v>
      </c>
      <c r="E202" s="28">
        <v>0.112875</v>
      </c>
      <c r="F202" s="28">
        <v>94.333299999999994</v>
      </c>
      <c r="G202" s="28">
        <v>67.333299999999994</v>
      </c>
      <c r="H202" s="28">
        <v>0.71378081759039491</v>
      </c>
      <c r="I202" s="28">
        <v>97.524799999999999</v>
      </c>
      <c r="J202" s="28">
        <v>2.4752000000000001</v>
      </c>
      <c r="K202" s="28">
        <v>89.523799999999994</v>
      </c>
      <c r="L202" s="28">
        <v>89</v>
      </c>
      <c r="M202" s="28">
        <v>100</v>
      </c>
      <c r="N202" s="28">
        <v>699.07249000000002</v>
      </c>
      <c r="O202" s="28">
        <v>107.5</v>
      </c>
      <c r="P202" s="28">
        <v>591.29999999999995</v>
      </c>
      <c r="Q202" s="28">
        <v>0.27249000000000001</v>
      </c>
      <c r="R202" s="28">
        <v>122.771389</v>
      </c>
      <c r="S202" s="28">
        <v>100</v>
      </c>
      <c r="T202" s="28">
        <v>0.95</v>
      </c>
      <c r="U202" t="s">
        <v>17</v>
      </c>
    </row>
    <row r="203" spans="1:21" x14ac:dyDescent="0.25">
      <c r="A203" t="s">
        <v>33</v>
      </c>
      <c r="B203">
        <v>300</v>
      </c>
      <c r="C203">
        <v>105</v>
      </c>
      <c r="D203">
        <v>4</v>
      </c>
      <c r="E203" s="28">
        <v>0.108184</v>
      </c>
      <c r="F203" s="28">
        <v>94.333299999999994</v>
      </c>
      <c r="G203" s="28">
        <v>67.333299999999994</v>
      </c>
      <c r="H203" s="28">
        <v>0.71378081759039491</v>
      </c>
      <c r="I203" s="28">
        <v>97.524799999999999</v>
      </c>
      <c r="J203" s="28">
        <v>2.4752000000000001</v>
      </c>
      <c r="K203" s="28">
        <v>89.523799999999994</v>
      </c>
      <c r="L203" s="28">
        <v>89</v>
      </c>
      <c r="M203" s="28">
        <v>100</v>
      </c>
      <c r="N203" s="28">
        <v>699.07249000000002</v>
      </c>
      <c r="O203" s="28">
        <v>107.5</v>
      </c>
      <c r="P203" s="28">
        <v>591.29999999999995</v>
      </c>
      <c r="Q203" s="28">
        <v>0.27249000000000001</v>
      </c>
      <c r="R203" s="28">
        <v>122.77139200000001</v>
      </c>
      <c r="S203" s="28">
        <v>100</v>
      </c>
      <c r="T203" s="28">
        <v>0.95</v>
      </c>
      <c r="U203" t="s">
        <v>17</v>
      </c>
    </row>
    <row r="204" spans="1:21" x14ac:dyDescent="0.25">
      <c r="A204" t="s">
        <v>33</v>
      </c>
      <c r="B204">
        <v>300</v>
      </c>
      <c r="C204">
        <v>105</v>
      </c>
      <c r="D204">
        <v>4</v>
      </c>
      <c r="E204" s="28">
        <v>0.111377</v>
      </c>
      <c r="F204" s="28">
        <v>94.333299999999994</v>
      </c>
      <c r="G204" s="28">
        <v>67.333299999999994</v>
      </c>
      <c r="H204" s="28">
        <v>0.71378081759039491</v>
      </c>
      <c r="I204" s="28">
        <v>97.524799999999999</v>
      </c>
      <c r="J204" s="28">
        <v>2.4752000000000001</v>
      </c>
      <c r="K204" s="28">
        <v>89.523799999999994</v>
      </c>
      <c r="L204" s="28">
        <v>89</v>
      </c>
      <c r="M204" s="28">
        <v>100</v>
      </c>
      <c r="N204" s="28">
        <v>699.07249000000002</v>
      </c>
      <c r="O204" s="28">
        <v>107.5</v>
      </c>
      <c r="P204" s="28">
        <v>591.29999999999995</v>
      </c>
      <c r="Q204" s="28">
        <v>0.27249000000000001</v>
      </c>
      <c r="R204" s="28">
        <v>122.739375</v>
      </c>
      <c r="S204" s="28">
        <v>100</v>
      </c>
      <c r="T204" s="28">
        <v>0.95</v>
      </c>
      <c r="U204" t="s">
        <v>17</v>
      </c>
    </row>
    <row r="205" spans="1:21" x14ac:dyDescent="0.25">
      <c r="A205" t="s">
        <v>33</v>
      </c>
      <c r="B205">
        <v>300</v>
      </c>
      <c r="C205">
        <v>105</v>
      </c>
      <c r="D205">
        <v>4</v>
      </c>
      <c r="E205" s="28">
        <v>0.11203299999999999</v>
      </c>
      <c r="F205" s="28">
        <v>94.333299999999994</v>
      </c>
      <c r="G205" s="28">
        <v>67.333299999999994</v>
      </c>
      <c r="H205" s="28">
        <v>0.71378081759039491</v>
      </c>
      <c r="I205" s="28">
        <v>97.524799999999999</v>
      </c>
      <c r="J205" s="28">
        <v>2.4752000000000001</v>
      </c>
      <c r="K205" s="28">
        <v>89.523799999999994</v>
      </c>
      <c r="L205" s="28">
        <v>89</v>
      </c>
      <c r="M205" s="28">
        <v>100</v>
      </c>
      <c r="N205" s="28">
        <v>699.07249000000002</v>
      </c>
      <c r="O205" s="28">
        <v>107.5</v>
      </c>
      <c r="P205" s="28">
        <v>591.29999999999995</v>
      </c>
      <c r="Q205" s="28">
        <v>0.27249000000000001</v>
      </c>
      <c r="R205" s="28">
        <v>122.834988</v>
      </c>
      <c r="S205" s="28">
        <v>100</v>
      </c>
      <c r="T205" s="28">
        <v>0.95</v>
      </c>
      <c r="U205" t="s">
        <v>17</v>
      </c>
    </row>
    <row r="206" spans="1:21" x14ac:dyDescent="0.25">
      <c r="A206" t="s">
        <v>33</v>
      </c>
      <c r="B206">
        <v>300</v>
      </c>
      <c r="C206">
        <v>105</v>
      </c>
      <c r="D206">
        <v>4</v>
      </c>
      <c r="E206" s="28">
        <v>0.110236</v>
      </c>
      <c r="F206" s="28">
        <v>94.333299999999994</v>
      </c>
      <c r="G206" s="28">
        <v>67.333299999999994</v>
      </c>
      <c r="H206" s="28">
        <v>0.71378081759039491</v>
      </c>
      <c r="I206" s="28">
        <v>97.524799999999999</v>
      </c>
      <c r="J206" s="28">
        <v>2.4752000000000001</v>
      </c>
      <c r="K206" s="28">
        <v>90.476200000000006</v>
      </c>
      <c r="L206" s="28">
        <v>90</v>
      </c>
      <c r="M206" s="28">
        <v>100</v>
      </c>
      <c r="N206" s="28">
        <v>699.07266000000004</v>
      </c>
      <c r="O206" s="28">
        <v>107.5</v>
      </c>
      <c r="P206" s="28">
        <v>591.29999999999995</v>
      </c>
      <c r="Q206" s="28">
        <v>0.27266000000000001</v>
      </c>
      <c r="R206" s="28">
        <v>123.050372</v>
      </c>
      <c r="S206" s="28">
        <v>100</v>
      </c>
      <c r="T206" s="28">
        <v>0.95</v>
      </c>
      <c r="U206" t="s">
        <v>17</v>
      </c>
    </row>
    <row r="207" spans="1:21" x14ac:dyDescent="0.25">
      <c r="A207" t="s">
        <v>33</v>
      </c>
      <c r="B207">
        <v>300</v>
      </c>
      <c r="C207">
        <v>105</v>
      </c>
      <c r="D207">
        <v>4</v>
      </c>
      <c r="E207" s="28">
        <v>0.11301899999999999</v>
      </c>
      <c r="F207" s="28">
        <v>94.333299999999994</v>
      </c>
      <c r="G207" s="28">
        <v>67.333299999999994</v>
      </c>
      <c r="H207" s="28">
        <v>0.71378081759039491</v>
      </c>
      <c r="I207" s="28">
        <v>97.524799999999999</v>
      </c>
      <c r="J207" s="28">
        <v>2.4752000000000001</v>
      </c>
      <c r="K207" s="28">
        <v>90.476200000000006</v>
      </c>
      <c r="L207" s="28">
        <v>90</v>
      </c>
      <c r="M207" s="28">
        <v>100</v>
      </c>
      <c r="N207" s="28">
        <v>699.07266000000004</v>
      </c>
      <c r="O207" s="28">
        <v>107.5</v>
      </c>
      <c r="P207" s="28">
        <v>591.29999999999995</v>
      </c>
      <c r="Q207" s="28">
        <v>0.27266000000000001</v>
      </c>
      <c r="R207" s="28">
        <v>123.05045</v>
      </c>
      <c r="S207" s="28">
        <v>100</v>
      </c>
      <c r="T207" s="28">
        <v>0.95</v>
      </c>
      <c r="U207" t="s">
        <v>17</v>
      </c>
    </row>
    <row r="208" spans="1:21" x14ac:dyDescent="0.25">
      <c r="A208" t="s">
        <v>33</v>
      </c>
      <c r="B208">
        <v>300</v>
      </c>
      <c r="C208">
        <v>105</v>
      </c>
      <c r="D208">
        <v>4</v>
      </c>
      <c r="E208" s="28">
        <v>0.11017</v>
      </c>
      <c r="F208" s="28">
        <v>94.333299999999994</v>
      </c>
      <c r="G208" s="28">
        <v>67.333299999999994</v>
      </c>
      <c r="H208" s="28">
        <v>0.71378081759039491</v>
      </c>
      <c r="I208" s="28">
        <v>97.524799999999999</v>
      </c>
      <c r="J208" s="28">
        <v>2.4752000000000001</v>
      </c>
      <c r="K208" s="28">
        <v>90.476200000000006</v>
      </c>
      <c r="L208" s="28">
        <v>90</v>
      </c>
      <c r="M208" s="28">
        <v>100</v>
      </c>
      <c r="N208" s="28">
        <v>699.07266000000004</v>
      </c>
      <c r="O208" s="28">
        <v>107.5</v>
      </c>
      <c r="P208" s="28">
        <v>591.29999999999995</v>
      </c>
      <c r="Q208" s="28">
        <v>0.27266000000000001</v>
      </c>
      <c r="R208" s="28">
        <v>123.050448</v>
      </c>
      <c r="S208" s="28">
        <v>100</v>
      </c>
      <c r="T208" s="28">
        <v>0.95</v>
      </c>
      <c r="U208" t="s">
        <v>17</v>
      </c>
    </row>
    <row r="209" spans="1:21" x14ac:dyDescent="0.25">
      <c r="A209" t="s">
        <v>33</v>
      </c>
      <c r="B209">
        <v>300</v>
      </c>
      <c r="C209">
        <v>105</v>
      </c>
      <c r="D209">
        <v>4</v>
      </c>
      <c r="E209" s="28">
        <v>0.111955</v>
      </c>
      <c r="F209" s="28">
        <v>94.333299999999994</v>
      </c>
      <c r="G209" s="28">
        <v>67.333299999999994</v>
      </c>
      <c r="H209" s="28">
        <v>0.71378081759039491</v>
      </c>
      <c r="I209" s="28">
        <v>97.524799999999999</v>
      </c>
      <c r="J209" s="28">
        <v>2.4752000000000001</v>
      </c>
      <c r="K209" s="28">
        <v>90.476200000000006</v>
      </c>
      <c r="L209" s="28">
        <v>90</v>
      </c>
      <c r="M209" s="28">
        <v>100</v>
      </c>
      <c r="N209" s="28">
        <v>699.07266000000004</v>
      </c>
      <c r="O209" s="28">
        <v>107.5</v>
      </c>
      <c r="P209" s="28">
        <v>591.29999999999995</v>
      </c>
      <c r="Q209" s="28">
        <v>0.27266000000000001</v>
      </c>
      <c r="R209" s="28">
        <v>123.050304</v>
      </c>
      <c r="S209" s="28">
        <v>100</v>
      </c>
      <c r="T209" s="28">
        <v>0.95</v>
      </c>
      <c r="U209" t="s">
        <v>17</v>
      </c>
    </row>
    <row r="210" spans="1:21" x14ac:dyDescent="0.25">
      <c r="A210" t="s">
        <v>33</v>
      </c>
      <c r="B210">
        <v>300</v>
      </c>
      <c r="C210">
        <v>105</v>
      </c>
      <c r="D210">
        <v>4</v>
      </c>
      <c r="E210" s="28">
        <v>0.110389</v>
      </c>
      <c r="F210" s="28">
        <v>94.333299999999994</v>
      </c>
      <c r="G210" s="28">
        <v>67.333299999999994</v>
      </c>
      <c r="H210" s="28">
        <v>0.71378081759039491</v>
      </c>
      <c r="I210" s="28">
        <v>97.524799999999999</v>
      </c>
      <c r="J210" s="28">
        <v>2.4752000000000001</v>
      </c>
      <c r="K210" s="28">
        <v>90.476200000000006</v>
      </c>
      <c r="L210" s="28">
        <v>90</v>
      </c>
      <c r="M210" s="28">
        <v>100</v>
      </c>
      <c r="N210" s="28">
        <v>699.07334000000003</v>
      </c>
      <c r="O210" s="28">
        <v>107.5</v>
      </c>
      <c r="P210" s="28">
        <v>591.29999999999995</v>
      </c>
      <c r="Q210" s="28">
        <v>0.27334000000000003</v>
      </c>
      <c r="R210" s="28">
        <v>122.86303700000001</v>
      </c>
      <c r="S210" s="28">
        <v>100</v>
      </c>
      <c r="T210" s="28">
        <v>0.95</v>
      </c>
      <c r="U210" t="s">
        <v>17</v>
      </c>
    </row>
    <row r="211" spans="1:21" x14ac:dyDescent="0.25">
      <c r="A211" t="s">
        <v>33</v>
      </c>
      <c r="B211">
        <v>300</v>
      </c>
      <c r="C211">
        <v>105</v>
      </c>
      <c r="D211">
        <v>4</v>
      </c>
      <c r="E211" s="28">
        <v>0.114298</v>
      </c>
      <c r="F211" s="28">
        <v>94.333299999999994</v>
      </c>
      <c r="G211" s="28">
        <v>67.333299999999994</v>
      </c>
      <c r="H211" s="28">
        <v>0.71378081759039491</v>
      </c>
      <c r="I211" s="28">
        <v>97.524799999999999</v>
      </c>
      <c r="J211" s="28">
        <v>2.4752000000000001</v>
      </c>
      <c r="K211" s="28">
        <v>90.476200000000006</v>
      </c>
      <c r="L211" s="28">
        <v>90</v>
      </c>
      <c r="M211" s="28">
        <v>100</v>
      </c>
      <c r="N211" s="28">
        <v>699.07334000000003</v>
      </c>
      <c r="O211" s="28">
        <v>107.5</v>
      </c>
      <c r="P211" s="28">
        <v>591.29999999999995</v>
      </c>
      <c r="Q211" s="28">
        <v>0.27334000000000003</v>
      </c>
      <c r="R211" s="28">
        <v>122.894819</v>
      </c>
      <c r="S211" s="28">
        <v>100</v>
      </c>
      <c r="T211" s="28">
        <v>0.95</v>
      </c>
      <c r="U211" t="s">
        <v>17</v>
      </c>
    </row>
    <row r="212" spans="1:21" x14ac:dyDescent="0.25">
      <c r="A212" t="s">
        <v>33</v>
      </c>
      <c r="B212">
        <v>300</v>
      </c>
      <c r="C212">
        <v>105</v>
      </c>
      <c r="D212">
        <v>4</v>
      </c>
      <c r="E212" s="28">
        <v>0.110653</v>
      </c>
      <c r="F212" s="28">
        <v>94.333299999999994</v>
      </c>
      <c r="G212" s="28">
        <v>67.333299999999994</v>
      </c>
      <c r="H212" s="28">
        <v>0.71378081759039491</v>
      </c>
      <c r="I212" s="28">
        <v>97.524799999999999</v>
      </c>
      <c r="J212" s="28">
        <v>2.4752000000000001</v>
      </c>
      <c r="K212" s="28">
        <v>91.428600000000003</v>
      </c>
      <c r="L212" s="28">
        <v>91</v>
      </c>
      <c r="M212" s="28">
        <v>100</v>
      </c>
      <c r="N212" s="28">
        <v>699.07351000000006</v>
      </c>
      <c r="O212" s="28">
        <v>107.5</v>
      </c>
      <c r="P212" s="28">
        <v>591.29999999999995</v>
      </c>
      <c r="Q212" s="28">
        <v>0.27350999999999998</v>
      </c>
      <c r="R212" s="28">
        <v>122.982643</v>
      </c>
      <c r="S212" s="28">
        <v>100</v>
      </c>
      <c r="T212" s="28">
        <v>0.95</v>
      </c>
      <c r="U212" t="s">
        <v>17</v>
      </c>
    </row>
    <row r="213" spans="1:21" x14ac:dyDescent="0.25">
      <c r="A213" t="s">
        <v>33</v>
      </c>
      <c r="B213">
        <v>300</v>
      </c>
      <c r="C213">
        <v>105</v>
      </c>
      <c r="D213">
        <v>4</v>
      </c>
      <c r="E213" s="28">
        <v>0.11039</v>
      </c>
      <c r="F213" s="28">
        <v>94.333299999999994</v>
      </c>
      <c r="G213" s="28">
        <v>67.333299999999994</v>
      </c>
      <c r="H213" s="28">
        <v>0.71378081759039491</v>
      </c>
      <c r="I213" s="28">
        <v>97.524799999999999</v>
      </c>
      <c r="J213" s="28">
        <v>2.4752000000000001</v>
      </c>
      <c r="K213" s="28">
        <v>91.428600000000003</v>
      </c>
      <c r="L213" s="28">
        <v>91</v>
      </c>
      <c r="M213" s="28">
        <v>100</v>
      </c>
      <c r="N213" s="28">
        <v>699.07419000000004</v>
      </c>
      <c r="O213" s="28">
        <v>107.5</v>
      </c>
      <c r="P213" s="28">
        <v>591.29999999999995</v>
      </c>
      <c r="Q213" s="28">
        <v>0.27418999999999999</v>
      </c>
      <c r="R213" s="28">
        <v>122.92268300000001</v>
      </c>
      <c r="S213" s="28">
        <v>100</v>
      </c>
      <c r="T213" s="28">
        <v>0.95</v>
      </c>
      <c r="U213" t="s">
        <v>17</v>
      </c>
    </row>
    <row r="214" spans="1:21" x14ac:dyDescent="0.25">
      <c r="A214" t="s">
        <v>33</v>
      </c>
      <c r="B214">
        <v>300</v>
      </c>
      <c r="C214">
        <v>105</v>
      </c>
      <c r="D214">
        <v>4</v>
      </c>
      <c r="E214" s="28">
        <v>0.108852</v>
      </c>
      <c r="F214" s="28">
        <v>94.333299999999994</v>
      </c>
      <c r="G214" s="28">
        <v>67.333299999999994</v>
      </c>
      <c r="H214" s="28">
        <v>0.71378081759039491</v>
      </c>
      <c r="I214" s="28">
        <v>97.524799999999999</v>
      </c>
      <c r="J214" s="28">
        <v>2.4752000000000001</v>
      </c>
      <c r="K214" s="28">
        <v>91.428600000000003</v>
      </c>
      <c r="L214" s="28">
        <v>91</v>
      </c>
      <c r="M214" s="28">
        <v>100</v>
      </c>
      <c r="N214" s="28">
        <v>699.07419000000004</v>
      </c>
      <c r="O214" s="28">
        <v>107.5</v>
      </c>
      <c r="P214" s="28">
        <v>591.29999999999995</v>
      </c>
      <c r="Q214" s="28">
        <v>0.27418999999999999</v>
      </c>
      <c r="R214" s="28">
        <v>122.986649</v>
      </c>
      <c r="S214" s="28">
        <v>100</v>
      </c>
      <c r="T214" s="28">
        <v>0.95</v>
      </c>
      <c r="U214" t="s">
        <v>17</v>
      </c>
    </row>
    <row r="215" spans="1:21" x14ac:dyDescent="0.25">
      <c r="A215" t="s">
        <v>33</v>
      </c>
      <c r="B215">
        <v>300</v>
      </c>
      <c r="C215">
        <v>105</v>
      </c>
      <c r="D215">
        <v>4</v>
      </c>
      <c r="E215" s="28">
        <v>0.10947800000000001</v>
      </c>
      <c r="F215" s="28">
        <v>94.333299999999994</v>
      </c>
      <c r="G215" s="28">
        <v>67</v>
      </c>
      <c r="H215" s="28">
        <v>0.71024760079420524</v>
      </c>
      <c r="I215" s="28">
        <v>97.5124</v>
      </c>
      <c r="J215" s="28">
        <v>2.4876</v>
      </c>
      <c r="K215" s="28">
        <v>83.8095</v>
      </c>
      <c r="L215" s="28">
        <v>83</v>
      </c>
      <c r="M215" s="28">
        <v>100</v>
      </c>
      <c r="N215" s="28">
        <v>706.36671000000001</v>
      </c>
      <c r="O215" s="28">
        <v>107.5</v>
      </c>
      <c r="P215" s="28">
        <v>598.6</v>
      </c>
      <c r="Q215" s="28">
        <v>0.26671</v>
      </c>
      <c r="R215" s="28">
        <v>122.591471</v>
      </c>
      <c r="S215" s="28">
        <v>100</v>
      </c>
      <c r="T215" s="28">
        <v>0.95</v>
      </c>
      <c r="U215" t="s">
        <v>17</v>
      </c>
    </row>
    <row r="216" spans="1:21" x14ac:dyDescent="0.25">
      <c r="A216" t="s">
        <v>33</v>
      </c>
      <c r="B216">
        <v>300</v>
      </c>
      <c r="C216">
        <v>105</v>
      </c>
      <c r="D216">
        <v>4</v>
      </c>
      <c r="E216" s="28">
        <v>0.111014</v>
      </c>
      <c r="F216" s="28">
        <v>94.333299999999994</v>
      </c>
      <c r="G216" s="28">
        <v>67</v>
      </c>
      <c r="H216" s="28">
        <v>0.71024760079420524</v>
      </c>
      <c r="I216" s="28">
        <v>97.5124</v>
      </c>
      <c r="J216" s="28">
        <v>2.4876</v>
      </c>
      <c r="K216" s="28">
        <v>83.8095</v>
      </c>
      <c r="L216" s="28">
        <v>83</v>
      </c>
      <c r="M216" s="28">
        <v>100</v>
      </c>
      <c r="N216" s="28">
        <v>706.36671000000001</v>
      </c>
      <c r="O216" s="28">
        <v>107.5</v>
      </c>
      <c r="P216" s="28">
        <v>598.6</v>
      </c>
      <c r="Q216" s="28">
        <v>0.26671</v>
      </c>
      <c r="R216" s="28">
        <v>122.591471</v>
      </c>
      <c r="S216" s="28">
        <v>100</v>
      </c>
      <c r="T216" s="28">
        <v>0.95</v>
      </c>
      <c r="U216" t="s">
        <v>17</v>
      </c>
    </row>
    <row r="217" spans="1:21" x14ac:dyDescent="0.25">
      <c r="A217" t="s">
        <v>33</v>
      </c>
      <c r="B217">
        <v>300</v>
      </c>
      <c r="C217">
        <v>105</v>
      </c>
      <c r="D217">
        <v>4</v>
      </c>
      <c r="E217" s="28">
        <v>0.111647</v>
      </c>
      <c r="F217" s="28">
        <v>94.333299999999994</v>
      </c>
      <c r="G217" s="28">
        <v>67</v>
      </c>
      <c r="H217" s="28">
        <v>0.71024760079420524</v>
      </c>
      <c r="I217" s="28">
        <v>97.5124</v>
      </c>
      <c r="J217" s="28">
        <v>2.4876</v>
      </c>
      <c r="K217" s="28">
        <v>83.8095</v>
      </c>
      <c r="L217" s="28">
        <v>83</v>
      </c>
      <c r="M217" s="28">
        <v>100</v>
      </c>
      <c r="N217" s="28">
        <v>706.36671000000001</v>
      </c>
      <c r="O217" s="28">
        <v>107.5</v>
      </c>
      <c r="P217" s="28">
        <v>598.6</v>
      </c>
      <c r="Q217" s="28">
        <v>0.26671</v>
      </c>
      <c r="R217" s="28">
        <v>122.591471</v>
      </c>
      <c r="S217" s="28">
        <v>100</v>
      </c>
      <c r="T217" s="28">
        <v>0.95</v>
      </c>
      <c r="U217" t="s">
        <v>17</v>
      </c>
    </row>
    <row r="218" spans="1:21" x14ac:dyDescent="0.25">
      <c r="A218" t="s">
        <v>33</v>
      </c>
      <c r="B218">
        <v>300</v>
      </c>
      <c r="C218">
        <v>105</v>
      </c>
      <c r="D218">
        <v>4</v>
      </c>
      <c r="E218" s="28">
        <v>0.10893799999999999</v>
      </c>
      <c r="F218" s="28">
        <v>94.333299999999994</v>
      </c>
      <c r="G218" s="28">
        <v>67</v>
      </c>
      <c r="H218" s="28">
        <v>0.71024760079420524</v>
      </c>
      <c r="I218" s="28">
        <v>97.5124</v>
      </c>
      <c r="J218" s="28">
        <v>2.4876</v>
      </c>
      <c r="K218" s="28">
        <v>83.8095</v>
      </c>
      <c r="L218" s="28">
        <v>83</v>
      </c>
      <c r="M218" s="28">
        <v>100</v>
      </c>
      <c r="N218" s="28">
        <v>706.36671000000001</v>
      </c>
      <c r="O218" s="28">
        <v>107.5</v>
      </c>
      <c r="P218" s="28">
        <v>598.6</v>
      </c>
      <c r="Q218" s="28">
        <v>0.26671</v>
      </c>
      <c r="R218" s="28">
        <v>122.591471</v>
      </c>
      <c r="S218" s="28">
        <v>100</v>
      </c>
      <c r="T218" s="28">
        <v>0.95</v>
      </c>
      <c r="U218" t="s">
        <v>17</v>
      </c>
    </row>
    <row r="219" spans="1:21" x14ac:dyDescent="0.25">
      <c r="A219" t="s">
        <v>33</v>
      </c>
      <c r="B219">
        <v>300</v>
      </c>
      <c r="C219">
        <v>105</v>
      </c>
      <c r="D219">
        <v>4</v>
      </c>
      <c r="E219" s="28">
        <v>0.11593199999999999</v>
      </c>
      <c r="F219" s="28">
        <v>94.333299999999994</v>
      </c>
      <c r="G219" s="28">
        <v>67</v>
      </c>
      <c r="H219" s="28">
        <v>0.71024760079420524</v>
      </c>
      <c r="I219" s="28">
        <v>97.5124</v>
      </c>
      <c r="J219" s="28">
        <v>2.4876</v>
      </c>
      <c r="K219" s="28">
        <v>83.8095</v>
      </c>
      <c r="L219" s="28">
        <v>83</v>
      </c>
      <c r="M219" s="28">
        <v>100</v>
      </c>
      <c r="N219" s="28">
        <v>706.36671000000001</v>
      </c>
      <c r="O219" s="28">
        <v>107.5</v>
      </c>
      <c r="P219" s="28">
        <v>598.6</v>
      </c>
      <c r="Q219" s="28">
        <v>0.26671</v>
      </c>
      <c r="R219" s="28">
        <v>122.591471</v>
      </c>
      <c r="S219" s="28">
        <v>100</v>
      </c>
      <c r="T219" s="28">
        <v>0.95</v>
      </c>
      <c r="U219" t="s">
        <v>17</v>
      </c>
    </row>
    <row r="220" spans="1:21" x14ac:dyDescent="0.25">
      <c r="A220" t="s">
        <v>33</v>
      </c>
      <c r="B220">
        <v>300</v>
      </c>
      <c r="C220">
        <v>105</v>
      </c>
      <c r="D220">
        <v>4</v>
      </c>
      <c r="E220" s="28">
        <v>0.10907</v>
      </c>
      <c r="F220" s="28">
        <v>94.333299999999994</v>
      </c>
      <c r="G220" s="28">
        <v>67</v>
      </c>
      <c r="H220" s="28">
        <v>0.71024760079420524</v>
      </c>
      <c r="I220" s="28">
        <v>97.5124</v>
      </c>
      <c r="J220" s="28">
        <v>2.4876</v>
      </c>
      <c r="K220" s="28">
        <v>83.8095</v>
      </c>
      <c r="L220" s="28">
        <v>83</v>
      </c>
      <c r="M220" s="28">
        <v>100</v>
      </c>
      <c r="N220" s="28">
        <v>706.36671000000001</v>
      </c>
      <c r="O220" s="28">
        <v>107.5</v>
      </c>
      <c r="P220" s="28">
        <v>598.6</v>
      </c>
      <c r="Q220" s="28">
        <v>0.26671</v>
      </c>
      <c r="R220" s="28">
        <v>122.591471</v>
      </c>
      <c r="S220" s="28">
        <v>100</v>
      </c>
      <c r="T220" s="28">
        <v>0.95</v>
      </c>
      <c r="U220" t="s">
        <v>17</v>
      </c>
    </row>
    <row r="221" spans="1:21" x14ac:dyDescent="0.25">
      <c r="A221" t="s">
        <v>33</v>
      </c>
      <c r="B221">
        <v>300</v>
      </c>
      <c r="C221">
        <v>105</v>
      </c>
      <c r="D221">
        <v>4</v>
      </c>
      <c r="E221" s="28">
        <v>0.11049</v>
      </c>
      <c r="F221" s="28">
        <v>94.333299999999994</v>
      </c>
      <c r="G221" s="28">
        <v>67</v>
      </c>
      <c r="H221" s="28">
        <v>0.71024760079420524</v>
      </c>
      <c r="I221" s="28">
        <v>97.5124</v>
      </c>
      <c r="J221" s="28">
        <v>2.4876</v>
      </c>
      <c r="K221" s="28">
        <v>83.8095</v>
      </c>
      <c r="L221" s="28">
        <v>83</v>
      </c>
      <c r="M221" s="28">
        <v>100</v>
      </c>
      <c r="N221" s="28">
        <v>706.36671000000001</v>
      </c>
      <c r="O221" s="28">
        <v>107.5</v>
      </c>
      <c r="P221" s="28">
        <v>598.6</v>
      </c>
      <c r="Q221" s="28">
        <v>0.26671</v>
      </c>
      <c r="R221" s="28">
        <v>122.591471</v>
      </c>
      <c r="S221" s="28">
        <v>100</v>
      </c>
      <c r="T221" s="28">
        <v>0.95</v>
      </c>
      <c r="U221" t="s">
        <v>17</v>
      </c>
    </row>
    <row r="222" spans="1:21" x14ac:dyDescent="0.25">
      <c r="A222" t="s">
        <v>33</v>
      </c>
      <c r="B222">
        <v>300</v>
      </c>
      <c r="C222">
        <v>105</v>
      </c>
      <c r="D222">
        <v>4</v>
      </c>
      <c r="E222" s="28">
        <v>0.11310099999999999</v>
      </c>
      <c r="F222" s="28">
        <v>94.333299999999994</v>
      </c>
      <c r="G222" s="28">
        <v>67</v>
      </c>
      <c r="H222" s="28">
        <v>0.71024760079420524</v>
      </c>
      <c r="I222" s="28">
        <v>97.5124</v>
      </c>
      <c r="J222" s="28">
        <v>2.4876</v>
      </c>
      <c r="K222" s="28">
        <v>83.8095</v>
      </c>
      <c r="L222" s="28">
        <v>83</v>
      </c>
      <c r="M222" s="28">
        <v>100</v>
      </c>
      <c r="N222" s="28">
        <v>706.36671000000001</v>
      </c>
      <c r="O222" s="28">
        <v>107.5</v>
      </c>
      <c r="P222" s="28">
        <v>598.6</v>
      </c>
      <c r="Q222" s="28">
        <v>0.26671</v>
      </c>
      <c r="R222" s="28">
        <v>122.591471</v>
      </c>
      <c r="S222" s="28">
        <v>100</v>
      </c>
      <c r="T222" s="28">
        <v>0.95</v>
      </c>
      <c r="U222" t="s">
        <v>17</v>
      </c>
    </row>
    <row r="223" spans="1:21" x14ac:dyDescent="0.25">
      <c r="A223" t="s">
        <v>33</v>
      </c>
      <c r="B223">
        <v>300</v>
      </c>
      <c r="C223">
        <v>105</v>
      </c>
      <c r="D223">
        <v>4</v>
      </c>
      <c r="E223" s="28">
        <v>0.10816199999999999</v>
      </c>
      <c r="F223" s="28">
        <v>94.333299999999994</v>
      </c>
      <c r="G223" s="28">
        <v>67</v>
      </c>
      <c r="H223" s="28">
        <v>0.71024760079420524</v>
      </c>
      <c r="I223" s="28">
        <v>97.5124</v>
      </c>
      <c r="J223" s="28">
        <v>2.4876</v>
      </c>
      <c r="K223" s="28">
        <v>83.8095</v>
      </c>
      <c r="L223" s="28">
        <v>83</v>
      </c>
      <c r="M223" s="28">
        <v>100</v>
      </c>
      <c r="N223" s="28">
        <v>706.36671000000001</v>
      </c>
      <c r="O223" s="28">
        <v>107.5</v>
      </c>
      <c r="P223" s="28">
        <v>598.6</v>
      </c>
      <c r="Q223" s="28">
        <v>0.26671</v>
      </c>
      <c r="R223" s="28">
        <v>122.591471</v>
      </c>
      <c r="S223" s="28">
        <v>100</v>
      </c>
      <c r="T223" s="28">
        <v>0.95</v>
      </c>
      <c r="U223" t="s">
        <v>17</v>
      </c>
    </row>
    <row r="224" spans="1:21" x14ac:dyDescent="0.25">
      <c r="A224" t="s">
        <v>33</v>
      </c>
      <c r="B224">
        <v>300</v>
      </c>
      <c r="C224">
        <v>105</v>
      </c>
      <c r="D224">
        <v>4</v>
      </c>
      <c r="E224" s="28">
        <v>0.108084</v>
      </c>
      <c r="F224" s="28">
        <v>94.333299999999994</v>
      </c>
      <c r="G224" s="28">
        <v>67</v>
      </c>
      <c r="H224" s="28">
        <v>0.71024760079420524</v>
      </c>
      <c r="I224" s="28">
        <v>97.5124</v>
      </c>
      <c r="J224" s="28">
        <v>2.4876</v>
      </c>
      <c r="K224" s="28">
        <v>83.8095</v>
      </c>
      <c r="L224" s="28">
        <v>83</v>
      </c>
      <c r="M224" s="28">
        <v>100</v>
      </c>
      <c r="N224" s="28">
        <v>706.36671000000001</v>
      </c>
      <c r="O224" s="28">
        <v>107.5</v>
      </c>
      <c r="P224" s="28">
        <v>598.6</v>
      </c>
      <c r="Q224" s="28">
        <v>0.26671</v>
      </c>
      <c r="R224" s="28">
        <v>122.591471</v>
      </c>
      <c r="S224" s="28">
        <v>100</v>
      </c>
      <c r="T224" s="28">
        <v>0.95</v>
      </c>
      <c r="U224" t="s">
        <v>17</v>
      </c>
    </row>
    <row r="225" spans="1:21" x14ac:dyDescent="0.25">
      <c r="A225" t="s">
        <v>33</v>
      </c>
      <c r="B225">
        <v>300</v>
      </c>
      <c r="C225">
        <v>105</v>
      </c>
      <c r="D225">
        <v>4</v>
      </c>
      <c r="E225" s="28">
        <v>0.109053</v>
      </c>
      <c r="F225" s="28">
        <v>94.333299999999994</v>
      </c>
      <c r="G225" s="28">
        <v>67</v>
      </c>
      <c r="H225" s="28">
        <v>0.71024760079420524</v>
      </c>
      <c r="I225" s="28">
        <v>97.5124</v>
      </c>
      <c r="J225" s="28">
        <v>2.4876</v>
      </c>
      <c r="K225" s="28">
        <v>83.8095</v>
      </c>
      <c r="L225" s="28">
        <v>83</v>
      </c>
      <c r="M225" s="28">
        <v>100</v>
      </c>
      <c r="N225" s="28">
        <v>706.36671000000001</v>
      </c>
      <c r="O225" s="28">
        <v>107.5</v>
      </c>
      <c r="P225" s="28">
        <v>598.6</v>
      </c>
      <c r="Q225" s="28">
        <v>0.26671</v>
      </c>
      <c r="R225" s="28">
        <v>122.591471</v>
      </c>
      <c r="S225" s="28">
        <v>100</v>
      </c>
      <c r="T225" s="28">
        <v>0.95</v>
      </c>
      <c r="U225" t="s">
        <v>17</v>
      </c>
    </row>
    <row r="226" spans="1:21" x14ac:dyDescent="0.25">
      <c r="A226" t="s">
        <v>33</v>
      </c>
      <c r="B226">
        <v>300</v>
      </c>
      <c r="C226">
        <v>105</v>
      </c>
      <c r="D226">
        <v>4</v>
      </c>
      <c r="E226" s="28">
        <v>0.109954</v>
      </c>
      <c r="F226" s="28">
        <v>94.333299999999994</v>
      </c>
      <c r="G226" s="28">
        <v>67</v>
      </c>
      <c r="H226" s="28">
        <v>0.71024760079420524</v>
      </c>
      <c r="I226" s="28">
        <v>97.5124</v>
      </c>
      <c r="J226" s="28">
        <v>2.4876</v>
      </c>
      <c r="K226" s="28">
        <v>83.8095</v>
      </c>
      <c r="L226" s="28">
        <v>83</v>
      </c>
      <c r="M226" s="28">
        <v>100</v>
      </c>
      <c r="N226" s="28">
        <v>706.36671000000001</v>
      </c>
      <c r="O226" s="28">
        <v>107.5</v>
      </c>
      <c r="P226" s="28">
        <v>598.6</v>
      </c>
      <c r="Q226" s="28">
        <v>0.26671</v>
      </c>
      <c r="R226" s="28">
        <v>122.591471</v>
      </c>
      <c r="S226" s="28">
        <v>100</v>
      </c>
      <c r="T226" s="28">
        <v>0.95</v>
      </c>
      <c r="U226" t="s">
        <v>17</v>
      </c>
    </row>
    <row r="227" spans="1:21" x14ac:dyDescent="0.25">
      <c r="A227" t="s">
        <v>33</v>
      </c>
      <c r="B227">
        <v>300</v>
      </c>
      <c r="C227">
        <v>105</v>
      </c>
      <c r="D227">
        <v>4</v>
      </c>
      <c r="E227" s="28">
        <v>0.107031</v>
      </c>
      <c r="F227" s="28">
        <v>94.333299999999994</v>
      </c>
      <c r="G227" s="28">
        <v>67</v>
      </c>
      <c r="H227" s="28">
        <v>0.71024760079420524</v>
      </c>
      <c r="I227" s="28">
        <v>97.5124</v>
      </c>
      <c r="J227" s="28">
        <v>2.4876</v>
      </c>
      <c r="K227" s="28">
        <v>83.8095</v>
      </c>
      <c r="L227" s="28">
        <v>83</v>
      </c>
      <c r="M227" s="28">
        <v>100</v>
      </c>
      <c r="N227" s="28">
        <v>706.36671000000001</v>
      </c>
      <c r="O227" s="28">
        <v>107.5</v>
      </c>
      <c r="P227" s="28">
        <v>598.6</v>
      </c>
      <c r="Q227" s="28">
        <v>0.26671</v>
      </c>
      <c r="R227" s="28">
        <v>122.591471</v>
      </c>
      <c r="S227" s="28">
        <v>100</v>
      </c>
      <c r="T227" s="28">
        <v>0.95</v>
      </c>
      <c r="U227" t="s">
        <v>17</v>
      </c>
    </row>
    <row r="228" spans="1:21" x14ac:dyDescent="0.25">
      <c r="A228" t="s">
        <v>33</v>
      </c>
      <c r="B228">
        <v>300</v>
      </c>
      <c r="C228">
        <v>105</v>
      </c>
      <c r="D228">
        <v>4</v>
      </c>
      <c r="E228" s="28">
        <v>0.109888</v>
      </c>
      <c r="F228" s="28">
        <v>94.333299999999994</v>
      </c>
      <c r="G228" s="28">
        <v>67</v>
      </c>
      <c r="H228" s="28">
        <v>0.71024760079420524</v>
      </c>
      <c r="I228" s="28">
        <v>97.5124</v>
      </c>
      <c r="J228" s="28">
        <v>2.4876</v>
      </c>
      <c r="K228" s="28">
        <v>83.8095</v>
      </c>
      <c r="L228" s="28">
        <v>83</v>
      </c>
      <c r="M228" s="28">
        <v>100</v>
      </c>
      <c r="N228" s="28">
        <v>706.36671000000001</v>
      </c>
      <c r="O228" s="28">
        <v>107.5</v>
      </c>
      <c r="P228" s="28">
        <v>598.6</v>
      </c>
      <c r="Q228" s="28">
        <v>0.26671</v>
      </c>
      <c r="R228" s="28">
        <v>122.591471</v>
      </c>
      <c r="S228" s="28">
        <v>100</v>
      </c>
      <c r="T228" s="28">
        <v>0.95</v>
      </c>
      <c r="U228" t="s">
        <v>17</v>
      </c>
    </row>
    <row r="229" spans="1:21" x14ac:dyDescent="0.25">
      <c r="A229" t="s">
        <v>33</v>
      </c>
      <c r="B229">
        <v>300</v>
      </c>
      <c r="C229">
        <v>105</v>
      </c>
      <c r="D229">
        <v>4</v>
      </c>
      <c r="E229" s="28">
        <v>0.109537</v>
      </c>
      <c r="F229" s="28">
        <v>94.333299999999994</v>
      </c>
      <c r="G229" s="28">
        <v>67</v>
      </c>
      <c r="H229" s="28">
        <v>0.71024760079420524</v>
      </c>
      <c r="I229" s="28">
        <v>97.5124</v>
      </c>
      <c r="J229" s="28">
        <v>2.4876</v>
      </c>
      <c r="K229" s="28">
        <v>83.8095</v>
      </c>
      <c r="L229" s="28">
        <v>83</v>
      </c>
      <c r="M229" s="28">
        <v>100</v>
      </c>
      <c r="N229" s="28">
        <v>706.36671000000001</v>
      </c>
      <c r="O229" s="28">
        <v>107.5</v>
      </c>
      <c r="P229" s="28">
        <v>598.6</v>
      </c>
      <c r="Q229" s="28">
        <v>0.26671</v>
      </c>
      <c r="R229" s="28">
        <v>122.591471</v>
      </c>
      <c r="S229" s="28">
        <v>100</v>
      </c>
      <c r="T229" s="28">
        <v>0.95</v>
      </c>
      <c r="U229" t="s">
        <v>17</v>
      </c>
    </row>
    <row r="230" spans="1:21" x14ac:dyDescent="0.25">
      <c r="A230" t="s">
        <v>33</v>
      </c>
      <c r="B230">
        <v>300</v>
      </c>
      <c r="C230">
        <v>105</v>
      </c>
      <c r="D230">
        <v>4</v>
      </c>
      <c r="E230" s="28">
        <v>0.111245</v>
      </c>
      <c r="F230" s="28">
        <v>94.333299999999994</v>
      </c>
      <c r="G230" s="28">
        <v>67</v>
      </c>
      <c r="H230" s="28">
        <v>0.71024760079420524</v>
      </c>
      <c r="I230" s="28">
        <v>97.5124</v>
      </c>
      <c r="J230" s="28">
        <v>2.4876</v>
      </c>
      <c r="K230" s="28">
        <v>83.8095</v>
      </c>
      <c r="L230" s="28">
        <v>83</v>
      </c>
      <c r="M230" s="28">
        <v>100</v>
      </c>
      <c r="N230" s="28">
        <v>706.36671000000001</v>
      </c>
      <c r="O230" s="28">
        <v>107.5</v>
      </c>
      <c r="P230" s="28">
        <v>598.6</v>
      </c>
      <c r="Q230" s="28">
        <v>0.26671</v>
      </c>
      <c r="R230" s="28">
        <v>122.591471</v>
      </c>
      <c r="S230" s="28">
        <v>100</v>
      </c>
      <c r="T230" s="28">
        <v>0.95</v>
      </c>
      <c r="U230" t="s">
        <v>17</v>
      </c>
    </row>
    <row r="231" spans="1:21" x14ac:dyDescent="0.25">
      <c r="A231" t="s">
        <v>33</v>
      </c>
      <c r="B231">
        <v>300</v>
      </c>
      <c r="C231">
        <v>105</v>
      </c>
      <c r="D231">
        <v>4</v>
      </c>
      <c r="E231" s="28">
        <v>0.11274099999999999</v>
      </c>
      <c r="F231" s="28">
        <v>94.333299999999994</v>
      </c>
      <c r="G231" s="28">
        <v>67</v>
      </c>
      <c r="H231" s="28">
        <v>0.71024760079420524</v>
      </c>
      <c r="I231" s="28">
        <v>97.5124</v>
      </c>
      <c r="J231" s="28">
        <v>2.4876</v>
      </c>
      <c r="K231" s="28">
        <v>83.8095</v>
      </c>
      <c r="L231" s="28">
        <v>83</v>
      </c>
      <c r="M231" s="28">
        <v>100</v>
      </c>
      <c r="N231" s="28">
        <v>706.36671000000001</v>
      </c>
      <c r="O231" s="28">
        <v>107.5</v>
      </c>
      <c r="P231" s="28">
        <v>598.6</v>
      </c>
      <c r="Q231" s="28">
        <v>0.26671</v>
      </c>
      <c r="R231" s="28">
        <v>122.591471</v>
      </c>
      <c r="S231" s="28">
        <v>100</v>
      </c>
      <c r="T231" s="28">
        <v>0.95</v>
      </c>
      <c r="U231" t="s">
        <v>17</v>
      </c>
    </row>
    <row r="232" spans="1:21" x14ac:dyDescent="0.25">
      <c r="A232" t="s">
        <v>33</v>
      </c>
      <c r="B232">
        <v>300</v>
      </c>
      <c r="C232">
        <v>105</v>
      </c>
      <c r="D232">
        <v>4</v>
      </c>
      <c r="E232" s="28">
        <v>0.11261699999999999</v>
      </c>
      <c r="F232" s="28">
        <v>94.333299999999994</v>
      </c>
      <c r="G232" s="28">
        <v>67</v>
      </c>
      <c r="H232" s="28">
        <v>0.71024760079420524</v>
      </c>
      <c r="I232" s="28">
        <v>97.5124</v>
      </c>
      <c r="J232" s="28">
        <v>2.4876</v>
      </c>
      <c r="K232" s="28">
        <v>83.8095</v>
      </c>
      <c r="L232" s="28">
        <v>83</v>
      </c>
      <c r="M232" s="28">
        <v>100</v>
      </c>
      <c r="N232" s="28">
        <v>706.36671000000001</v>
      </c>
      <c r="O232" s="28">
        <v>107.5</v>
      </c>
      <c r="P232" s="28">
        <v>598.6</v>
      </c>
      <c r="Q232" s="28">
        <v>0.26671</v>
      </c>
      <c r="R232" s="28">
        <v>122.591471</v>
      </c>
      <c r="S232" s="28">
        <v>100</v>
      </c>
      <c r="T232" s="28">
        <v>0.95</v>
      </c>
      <c r="U232" t="s">
        <v>17</v>
      </c>
    </row>
    <row r="233" spans="1:21" x14ac:dyDescent="0.25">
      <c r="A233" t="s">
        <v>33</v>
      </c>
      <c r="B233">
        <v>300</v>
      </c>
      <c r="C233">
        <v>105</v>
      </c>
      <c r="D233">
        <v>4</v>
      </c>
      <c r="E233" s="28">
        <v>0.109066</v>
      </c>
      <c r="F233" s="28">
        <v>94.333299999999994</v>
      </c>
      <c r="G233" s="28">
        <v>67</v>
      </c>
      <c r="H233" s="28">
        <v>0.71024760079420524</v>
      </c>
      <c r="I233" s="28">
        <v>97.5124</v>
      </c>
      <c r="J233" s="28">
        <v>2.4876</v>
      </c>
      <c r="K233" s="28">
        <v>83.8095</v>
      </c>
      <c r="L233" s="28">
        <v>83</v>
      </c>
      <c r="M233" s="28">
        <v>100</v>
      </c>
      <c r="N233" s="28">
        <v>706.36671000000001</v>
      </c>
      <c r="O233" s="28">
        <v>107.5</v>
      </c>
      <c r="P233" s="28">
        <v>598.6</v>
      </c>
      <c r="Q233" s="28">
        <v>0.26671</v>
      </c>
      <c r="R233" s="28">
        <v>122.591471</v>
      </c>
      <c r="S233" s="28">
        <v>100</v>
      </c>
      <c r="T233" s="28">
        <v>0.95</v>
      </c>
      <c r="U233" t="s">
        <v>17</v>
      </c>
    </row>
    <row r="234" spans="1:21" x14ac:dyDescent="0.25">
      <c r="A234" t="s">
        <v>33</v>
      </c>
      <c r="B234">
        <v>300</v>
      </c>
      <c r="C234">
        <v>105</v>
      </c>
      <c r="D234">
        <v>4</v>
      </c>
      <c r="E234" s="28">
        <v>0.11178299999999999</v>
      </c>
      <c r="F234" s="28">
        <v>94.333299999999994</v>
      </c>
      <c r="G234" s="28">
        <v>67</v>
      </c>
      <c r="H234" s="28">
        <v>0.71024760079420524</v>
      </c>
      <c r="I234" s="28">
        <v>97.5124</v>
      </c>
      <c r="J234" s="28">
        <v>2.4876</v>
      </c>
      <c r="K234" s="28">
        <v>83.8095</v>
      </c>
      <c r="L234" s="28">
        <v>83</v>
      </c>
      <c r="M234" s="28">
        <v>100</v>
      </c>
      <c r="N234" s="28">
        <v>706.36671000000001</v>
      </c>
      <c r="O234" s="28">
        <v>107.5</v>
      </c>
      <c r="P234" s="28">
        <v>598.6</v>
      </c>
      <c r="Q234" s="28">
        <v>0.26671</v>
      </c>
      <c r="R234" s="28">
        <v>122.591471</v>
      </c>
      <c r="S234" s="28">
        <v>100</v>
      </c>
      <c r="T234" s="28">
        <v>0.95</v>
      </c>
      <c r="U234" t="s">
        <v>17</v>
      </c>
    </row>
    <row r="235" spans="1:21" x14ac:dyDescent="0.25">
      <c r="A235" t="s">
        <v>33</v>
      </c>
      <c r="B235">
        <v>300</v>
      </c>
      <c r="C235">
        <v>105</v>
      </c>
      <c r="D235">
        <v>4</v>
      </c>
      <c r="E235" s="28">
        <v>0.11246200000000001</v>
      </c>
      <c r="F235" s="28">
        <v>94.333299999999994</v>
      </c>
      <c r="G235" s="28">
        <v>67</v>
      </c>
      <c r="H235" s="28">
        <v>0.71024760079420524</v>
      </c>
      <c r="I235" s="28">
        <v>97.5124</v>
      </c>
      <c r="J235" s="28">
        <v>2.4876</v>
      </c>
      <c r="K235" s="28">
        <v>83.8095</v>
      </c>
      <c r="L235" s="28">
        <v>83</v>
      </c>
      <c r="M235" s="28">
        <v>100</v>
      </c>
      <c r="N235" s="28">
        <v>706.36671000000001</v>
      </c>
      <c r="O235" s="28">
        <v>107.5</v>
      </c>
      <c r="P235" s="28">
        <v>598.6</v>
      </c>
      <c r="Q235" s="28">
        <v>0.26671</v>
      </c>
      <c r="R235" s="28">
        <v>122.591471</v>
      </c>
      <c r="S235" s="28">
        <v>100</v>
      </c>
      <c r="T235" s="28">
        <v>0.95</v>
      </c>
      <c r="U235" t="s">
        <v>17</v>
      </c>
    </row>
    <row r="236" spans="1:21" x14ac:dyDescent="0.25">
      <c r="A236" t="s">
        <v>33</v>
      </c>
      <c r="B236">
        <v>300</v>
      </c>
      <c r="C236">
        <v>105</v>
      </c>
      <c r="D236">
        <v>4</v>
      </c>
      <c r="E236" s="28">
        <v>0.10974299999999999</v>
      </c>
      <c r="F236" s="28">
        <v>94.333299999999994</v>
      </c>
      <c r="G236" s="28">
        <v>67</v>
      </c>
      <c r="H236" s="28">
        <v>0.71024760079420524</v>
      </c>
      <c r="I236" s="28">
        <v>97.5124</v>
      </c>
      <c r="J236" s="28">
        <v>2.4876</v>
      </c>
      <c r="K236" s="28">
        <v>83.8095</v>
      </c>
      <c r="L236" s="28">
        <v>83</v>
      </c>
      <c r="M236" s="28">
        <v>100</v>
      </c>
      <c r="N236" s="28">
        <v>706.36671000000001</v>
      </c>
      <c r="O236" s="28">
        <v>107.5</v>
      </c>
      <c r="P236" s="28">
        <v>598.6</v>
      </c>
      <c r="Q236" s="28">
        <v>0.26671</v>
      </c>
      <c r="R236" s="28">
        <v>122.591471</v>
      </c>
      <c r="S236" s="28">
        <v>100</v>
      </c>
      <c r="T236" s="28">
        <v>0.95</v>
      </c>
      <c r="U236" t="s">
        <v>17</v>
      </c>
    </row>
    <row r="237" spans="1:21" x14ac:dyDescent="0.25">
      <c r="A237" t="s">
        <v>33</v>
      </c>
      <c r="B237">
        <v>300</v>
      </c>
      <c r="C237">
        <v>105</v>
      </c>
      <c r="D237">
        <v>4</v>
      </c>
      <c r="E237" s="28">
        <v>0.109871</v>
      </c>
      <c r="F237" s="28">
        <v>94.333299999999994</v>
      </c>
      <c r="G237" s="28">
        <v>67</v>
      </c>
      <c r="H237" s="28">
        <v>0.71024760079420524</v>
      </c>
      <c r="I237" s="28">
        <v>97.5124</v>
      </c>
      <c r="J237" s="28">
        <v>2.4876</v>
      </c>
      <c r="K237" s="28">
        <v>83.8095</v>
      </c>
      <c r="L237" s="28">
        <v>83</v>
      </c>
      <c r="M237" s="28">
        <v>100</v>
      </c>
      <c r="N237" s="28">
        <v>706.36671000000001</v>
      </c>
      <c r="O237" s="28">
        <v>107.5</v>
      </c>
      <c r="P237" s="28">
        <v>598.6</v>
      </c>
      <c r="Q237" s="28">
        <v>0.26671</v>
      </c>
      <c r="R237" s="28">
        <v>122.591471</v>
      </c>
      <c r="S237" s="28">
        <v>100</v>
      </c>
      <c r="T237" s="28">
        <v>0.95</v>
      </c>
      <c r="U237" t="s">
        <v>17</v>
      </c>
    </row>
    <row r="238" spans="1:21" x14ac:dyDescent="0.25">
      <c r="A238" t="s">
        <v>33</v>
      </c>
      <c r="B238">
        <v>300</v>
      </c>
      <c r="C238">
        <v>105</v>
      </c>
      <c r="D238">
        <v>4</v>
      </c>
      <c r="E238" s="28">
        <v>0.11103300000000001</v>
      </c>
      <c r="F238" s="28">
        <v>94.333299999999994</v>
      </c>
      <c r="G238" s="28">
        <v>67</v>
      </c>
      <c r="H238" s="28">
        <v>0.71024760079420524</v>
      </c>
      <c r="I238" s="28">
        <v>97.5124</v>
      </c>
      <c r="J238" s="28">
        <v>2.4876</v>
      </c>
      <c r="K238" s="28">
        <v>83.8095</v>
      </c>
      <c r="L238" s="28">
        <v>83</v>
      </c>
      <c r="M238" s="28">
        <v>100</v>
      </c>
      <c r="N238" s="28">
        <v>706.36671000000001</v>
      </c>
      <c r="O238" s="28">
        <v>107.5</v>
      </c>
      <c r="P238" s="28">
        <v>598.6</v>
      </c>
      <c r="Q238" s="28">
        <v>0.26671</v>
      </c>
      <c r="R238" s="28">
        <v>122.591471</v>
      </c>
      <c r="S238" s="28">
        <v>100</v>
      </c>
      <c r="T238" s="28">
        <v>0.95</v>
      </c>
      <c r="U238" t="s">
        <v>17</v>
      </c>
    </row>
    <row r="239" spans="1:21" x14ac:dyDescent="0.25">
      <c r="A239" t="s">
        <v>33</v>
      </c>
      <c r="B239">
        <v>300</v>
      </c>
      <c r="C239">
        <v>105</v>
      </c>
      <c r="D239">
        <v>4</v>
      </c>
      <c r="E239" s="28">
        <v>0.11289200000000001</v>
      </c>
      <c r="F239" s="28">
        <v>94.333299999999994</v>
      </c>
      <c r="G239" s="28">
        <v>67</v>
      </c>
      <c r="H239" s="28">
        <v>0.71024760079420524</v>
      </c>
      <c r="I239" s="28">
        <v>97.5124</v>
      </c>
      <c r="J239" s="28">
        <v>2.4876</v>
      </c>
      <c r="K239" s="28">
        <v>83.8095</v>
      </c>
      <c r="L239" s="28">
        <v>83</v>
      </c>
      <c r="M239" s="28">
        <v>100</v>
      </c>
      <c r="N239" s="28">
        <v>706.36671000000001</v>
      </c>
      <c r="O239" s="28">
        <v>107.5</v>
      </c>
      <c r="P239" s="28">
        <v>598.6</v>
      </c>
      <c r="Q239" s="28">
        <v>0.26671</v>
      </c>
      <c r="R239" s="28">
        <v>122.591471</v>
      </c>
      <c r="S239" s="28">
        <v>100</v>
      </c>
      <c r="T239" s="28">
        <v>0.95</v>
      </c>
      <c r="U239" t="s">
        <v>17</v>
      </c>
    </row>
    <row r="240" spans="1:21" x14ac:dyDescent="0.25">
      <c r="A240" t="s">
        <v>33</v>
      </c>
      <c r="B240">
        <v>300</v>
      </c>
      <c r="C240">
        <v>105</v>
      </c>
      <c r="D240">
        <v>4</v>
      </c>
      <c r="E240" s="28">
        <v>0.10861999999999999</v>
      </c>
      <c r="F240" s="28">
        <v>94.333299999999994</v>
      </c>
      <c r="G240" s="28">
        <v>67</v>
      </c>
      <c r="H240" s="28">
        <v>0.71024760079420524</v>
      </c>
      <c r="I240" s="28">
        <v>97.5124</v>
      </c>
      <c r="J240" s="28">
        <v>2.4876</v>
      </c>
      <c r="K240" s="28">
        <v>83.8095</v>
      </c>
      <c r="L240" s="28">
        <v>83</v>
      </c>
      <c r="M240" s="28">
        <v>100</v>
      </c>
      <c r="N240" s="28">
        <v>706.36671000000001</v>
      </c>
      <c r="O240" s="28">
        <v>107.5</v>
      </c>
      <c r="P240" s="28">
        <v>598.6</v>
      </c>
      <c r="Q240" s="28">
        <v>0.26671</v>
      </c>
      <c r="R240" s="28">
        <v>122.591471</v>
      </c>
      <c r="S240" s="28">
        <v>100</v>
      </c>
      <c r="T240" s="28">
        <v>0.95</v>
      </c>
      <c r="U240" t="s">
        <v>17</v>
      </c>
    </row>
    <row r="241" spans="1:21" x14ac:dyDescent="0.25">
      <c r="A241" t="s">
        <v>33</v>
      </c>
      <c r="B241">
        <v>300</v>
      </c>
      <c r="C241">
        <v>105</v>
      </c>
      <c r="D241">
        <v>4</v>
      </c>
      <c r="E241" s="28">
        <v>0.11254400000000001</v>
      </c>
      <c r="F241" s="28">
        <v>94.333299999999994</v>
      </c>
      <c r="G241" s="28">
        <v>67</v>
      </c>
      <c r="H241" s="28">
        <v>0.71024760079420524</v>
      </c>
      <c r="I241" s="28">
        <v>97.5124</v>
      </c>
      <c r="J241" s="28">
        <v>2.4876</v>
      </c>
      <c r="K241" s="28">
        <v>83.8095</v>
      </c>
      <c r="L241" s="28">
        <v>83</v>
      </c>
      <c r="M241" s="28">
        <v>100</v>
      </c>
      <c r="N241" s="28">
        <v>706.36671000000001</v>
      </c>
      <c r="O241" s="28">
        <v>107.5</v>
      </c>
      <c r="P241" s="28">
        <v>598.6</v>
      </c>
      <c r="Q241" s="28">
        <v>0.26671</v>
      </c>
      <c r="R241" s="28">
        <v>122.591471</v>
      </c>
      <c r="S241" s="28">
        <v>100</v>
      </c>
      <c r="T241" s="28">
        <v>0.95</v>
      </c>
      <c r="U241" t="s">
        <v>17</v>
      </c>
    </row>
    <row r="242" spans="1:21" hidden="1" x14ac:dyDescent="0.25">
      <c r="A242" t="s">
        <v>34</v>
      </c>
      <c r="B242">
        <v>400</v>
      </c>
      <c r="C242">
        <v>105</v>
      </c>
      <c r="D242">
        <v>4</v>
      </c>
      <c r="E242">
        <v>0.17329600000000001</v>
      </c>
      <c r="F242">
        <v>92.25</v>
      </c>
      <c r="G242">
        <v>74.5</v>
      </c>
      <c r="H242">
        <v>0.80758807588075876</v>
      </c>
      <c r="I242">
        <v>68.120800000000003</v>
      </c>
      <c r="J242">
        <v>31.879200000000001</v>
      </c>
      <c r="K242">
        <v>89.523799999999994</v>
      </c>
      <c r="L242">
        <v>89</v>
      </c>
      <c r="M242">
        <v>100</v>
      </c>
      <c r="N242">
        <v>747.87166000000002</v>
      </c>
      <c r="O242">
        <v>208.1</v>
      </c>
      <c r="P242">
        <v>539.5</v>
      </c>
      <c r="Q242">
        <v>0.27166000000000001</v>
      </c>
      <c r="R242">
        <v>157.65837500000001</v>
      </c>
      <c r="S242">
        <v>100</v>
      </c>
      <c r="T242">
        <v>0.95</v>
      </c>
      <c r="U242" t="s">
        <v>18</v>
      </c>
    </row>
    <row r="243" spans="1:21" hidden="1" x14ac:dyDescent="0.25">
      <c r="A243" t="s">
        <v>34</v>
      </c>
      <c r="B243">
        <v>400</v>
      </c>
      <c r="C243">
        <v>105</v>
      </c>
      <c r="D243">
        <v>4</v>
      </c>
      <c r="E243">
        <v>0.17755399999999999</v>
      </c>
      <c r="F243">
        <v>92.25</v>
      </c>
      <c r="G243">
        <v>74.5</v>
      </c>
      <c r="H243">
        <v>0.80758807588075876</v>
      </c>
      <c r="I243">
        <v>67.449700000000007</v>
      </c>
      <c r="J243">
        <v>32.5503</v>
      </c>
      <c r="K243">
        <v>87.619</v>
      </c>
      <c r="L243">
        <v>87</v>
      </c>
      <c r="M243">
        <v>100</v>
      </c>
      <c r="N243">
        <v>751.86959999999999</v>
      </c>
      <c r="O243">
        <v>208.1</v>
      </c>
      <c r="P243">
        <v>543.5</v>
      </c>
      <c r="Q243">
        <v>0.26960000000000001</v>
      </c>
      <c r="R243">
        <v>156.86267000000001</v>
      </c>
      <c r="S243">
        <v>100</v>
      </c>
      <c r="T243">
        <v>0.95</v>
      </c>
      <c r="U243" t="s">
        <v>18</v>
      </c>
    </row>
    <row r="244" spans="1:21" hidden="1" x14ac:dyDescent="0.25">
      <c r="A244" t="s">
        <v>34</v>
      </c>
      <c r="B244">
        <v>400</v>
      </c>
      <c r="C244">
        <v>105</v>
      </c>
      <c r="D244">
        <v>4</v>
      </c>
      <c r="E244">
        <v>0.17394999999999999</v>
      </c>
      <c r="F244">
        <v>92.25</v>
      </c>
      <c r="G244">
        <v>74.25</v>
      </c>
      <c r="H244">
        <v>0.80487804878048785</v>
      </c>
      <c r="I244">
        <v>68.350200000000001</v>
      </c>
      <c r="J244">
        <v>31.649799999999999</v>
      </c>
      <c r="K244">
        <v>86.666700000000006</v>
      </c>
      <c r="L244">
        <v>86</v>
      </c>
      <c r="M244">
        <v>100</v>
      </c>
      <c r="N244">
        <v>757.96875</v>
      </c>
      <c r="O244">
        <v>208.1</v>
      </c>
      <c r="P244">
        <v>549.6</v>
      </c>
      <c r="Q244">
        <v>0.26874999999999999</v>
      </c>
      <c r="R244">
        <v>157.11081799999999</v>
      </c>
      <c r="S244">
        <v>100</v>
      </c>
      <c r="T244">
        <v>0.95</v>
      </c>
      <c r="U244" t="s">
        <v>18</v>
      </c>
    </row>
    <row r="245" spans="1:21" hidden="1" x14ac:dyDescent="0.25">
      <c r="A245" t="s">
        <v>34</v>
      </c>
      <c r="B245">
        <v>400</v>
      </c>
      <c r="C245">
        <v>105</v>
      </c>
      <c r="D245">
        <v>4</v>
      </c>
      <c r="E245">
        <v>0.176845</v>
      </c>
      <c r="F245">
        <v>92.25</v>
      </c>
      <c r="G245">
        <v>74.25</v>
      </c>
      <c r="H245">
        <v>0.80487804878048785</v>
      </c>
      <c r="I245">
        <v>68.350200000000001</v>
      </c>
      <c r="J245">
        <v>31.649799999999999</v>
      </c>
      <c r="K245">
        <v>86.666700000000006</v>
      </c>
      <c r="L245">
        <v>86</v>
      </c>
      <c r="M245">
        <v>100</v>
      </c>
      <c r="N245">
        <v>758.16911000000005</v>
      </c>
      <c r="O245">
        <v>208.1</v>
      </c>
      <c r="P245">
        <v>549.79999999999995</v>
      </c>
      <c r="Q245">
        <v>0.26911000000000002</v>
      </c>
      <c r="R245">
        <v>157.06357800000001</v>
      </c>
      <c r="S245">
        <v>100</v>
      </c>
      <c r="T245">
        <v>0.95</v>
      </c>
      <c r="U245" t="s">
        <v>18</v>
      </c>
    </row>
    <row r="246" spans="1:21" hidden="1" x14ac:dyDescent="0.25">
      <c r="A246" t="s">
        <v>34</v>
      </c>
      <c r="B246">
        <v>400</v>
      </c>
      <c r="C246">
        <v>105</v>
      </c>
      <c r="D246">
        <v>4</v>
      </c>
      <c r="E246">
        <v>0.17624500000000001</v>
      </c>
      <c r="F246">
        <v>92.25</v>
      </c>
      <c r="G246">
        <v>74</v>
      </c>
      <c r="H246">
        <v>0.80216802168021684</v>
      </c>
      <c r="I246">
        <v>68.581100000000006</v>
      </c>
      <c r="J246">
        <v>31.418900000000001</v>
      </c>
      <c r="K246">
        <v>85.714299999999994</v>
      </c>
      <c r="L246">
        <v>85</v>
      </c>
      <c r="M246">
        <v>100</v>
      </c>
      <c r="N246">
        <v>759.46789999999999</v>
      </c>
      <c r="O246">
        <v>208.1</v>
      </c>
      <c r="P246">
        <v>551.1</v>
      </c>
      <c r="Q246">
        <v>0.26790000000000003</v>
      </c>
      <c r="R246">
        <v>156.538805</v>
      </c>
      <c r="S246">
        <v>100</v>
      </c>
      <c r="T246">
        <v>0.95</v>
      </c>
      <c r="U246" t="s">
        <v>18</v>
      </c>
    </row>
    <row r="247" spans="1:21" hidden="1" x14ac:dyDescent="0.25">
      <c r="A247" t="s">
        <v>34</v>
      </c>
      <c r="B247">
        <v>400</v>
      </c>
      <c r="C247">
        <v>105</v>
      </c>
      <c r="D247">
        <v>4</v>
      </c>
      <c r="E247">
        <v>0.170711</v>
      </c>
      <c r="F247">
        <v>92.25</v>
      </c>
      <c r="G247">
        <v>74.25</v>
      </c>
      <c r="H247">
        <v>0.80487804878048785</v>
      </c>
      <c r="I247">
        <v>67.6768</v>
      </c>
      <c r="J247">
        <v>32.3232</v>
      </c>
      <c r="K247">
        <v>88.571399999999997</v>
      </c>
      <c r="L247">
        <v>88</v>
      </c>
      <c r="M247">
        <v>100</v>
      </c>
      <c r="N247">
        <v>760.17044999999996</v>
      </c>
      <c r="O247">
        <v>208.1</v>
      </c>
      <c r="P247">
        <v>551.79999999999995</v>
      </c>
      <c r="Q247">
        <v>0.27045000000000002</v>
      </c>
      <c r="R247">
        <v>157.07081199999999</v>
      </c>
      <c r="S247">
        <v>100</v>
      </c>
      <c r="T247">
        <v>0.95</v>
      </c>
      <c r="U247" t="s">
        <v>18</v>
      </c>
    </row>
    <row r="248" spans="1:21" hidden="1" x14ac:dyDescent="0.25">
      <c r="A248" t="s">
        <v>34</v>
      </c>
      <c r="B248">
        <v>400</v>
      </c>
      <c r="C248">
        <v>105</v>
      </c>
      <c r="D248">
        <v>4</v>
      </c>
      <c r="E248">
        <v>0.178754</v>
      </c>
      <c r="F248">
        <v>92.25</v>
      </c>
      <c r="G248">
        <v>74.25</v>
      </c>
      <c r="H248">
        <v>0.80487804878048785</v>
      </c>
      <c r="I248">
        <v>68.350200000000001</v>
      </c>
      <c r="J248">
        <v>31.649799999999999</v>
      </c>
      <c r="K248">
        <v>88.571399999999997</v>
      </c>
      <c r="L248">
        <v>88</v>
      </c>
      <c r="M248">
        <v>100</v>
      </c>
      <c r="N248">
        <v>760.97081000000003</v>
      </c>
      <c r="O248">
        <v>208.1</v>
      </c>
      <c r="P248">
        <v>552.6</v>
      </c>
      <c r="Q248">
        <v>0.27081</v>
      </c>
      <c r="R248">
        <v>157.17716200000001</v>
      </c>
      <c r="S248">
        <v>100</v>
      </c>
      <c r="T248">
        <v>0.95</v>
      </c>
      <c r="U248" t="s">
        <v>18</v>
      </c>
    </row>
    <row r="249" spans="1:21" hidden="1" x14ac:dyDescent="0.25">
      <c r="A249" t="s">
        <v>34</v>
      </c>
      <c r="B249">
        <v>400</v>
      </c>
      <c r="C249">
        <v>105</v>
      </c>
      <c r="D249">
        <v>4</v>
      </c>
      <c r="E249">
        <v>0.17516599999999999</v>
      </c>
      <c r="F249">
        <v>92.25</v>
      </c>
      <c r="G249">
        <v>74</v>
      </c>
      <c r="H249">
        <v>0.80216802168021684</v>
      </c>
      <c r="I249">
        <v>68.243200000000002</v>
      </c>
      <c r="J249">
        <v>31.756799999999998</v>
      </c>
      <c r="K249">
        <v>87.619</v>
      </c>
      <c r="L249">
        <v>87</v>
      </c>
      <c r="M249">
        <v>100</v>
      </c>
      <c r="N249">
        <v>762.26995999999997</v>
      </c>
      <c r="O249">
        <v>208.1</v>
      </c>
      <c r="P249">
        <v>553.9</v>
      </c>
      <c r="Q249">
        <v>0.26995999999999998</v>
      </c>
      <c r="R249">
        <v>158.07462000000001</v>
      </c>
      <c r="S249">
        <v>100</v>
      </c>
      <c r="T249">
        <v>0.95</v>
      </c>
      <c r="U249" t="s">
        <v>18</v>
      </c>
    </row>
    <row r="250" spans="1:21" hidden="1" x14ac:dyDescent="0.25">
      <c r="A250" t="s">
        <v>34</v>
      </c>
      <c r="B250">
        <v>400</v>
      </c>
      <c r="C250">
        <v>105</v>
      </c>
      <c r="D250">
        <v>4</v>
      </c>
      <c r="E250">
        <v>0.18559899999999999</v>
      </c>
      <c r="F250">
        <v>92.25</v>
      </c>
      <c r="G250">
        <v>74.25</v>
      </c>
      <c r="H250">
        <v>0.80487804878048785</v>
      </c>
      <c r="I250">
        <v>69.360299999999995</v>
      </c>
      <c r="J250">
        <v>30.639700000000001</v>
      </c>
      <c r="K250">
        <v>86.666700000000006</v>
      </c>
      <c r="L250">
        <v>86</v>
      </c>
      <c r="M250">
        <v>100</v>
      </c>
      <c r="N250">
        <v>762.36910999999998</v>
      </c>
      <c r="O250">
        <v>208.1</v>
      </c>
      <c r="P250">
        <v>554</v>
      </c>
      <c r="Q250">
        <v>0.26911000000000002</v>
      </c>
      <c r="R250">
        <v>154.73756900000001</v>
      </c>
      <c r="S250">
        <v>100</v>
      </c>
      <c r="T250">
        <v>0.95</v>
      </c>
      <c r="U250" t="s">
        <v>18</v>
      </c>
    </row>
    <row r="251" spans="1:21" hidden="1" x14ac:dyDescent="0.25">
      <c r="A251" t="s">
        <v>34</v>
      </c>
      <c r="B251">
        <v>400</v>
      </c>
      <c r="C251">
        <v>105</v>
      </c>
      <c r="D251">
        <v>4</v>
      </c>
      <c r="E251">
        <v>0.18488299999999999</v>
      </c>
      <c r="F251">
        <v>92.25</v>
      </c>
      <c r="G251">
        <v>74</v>
      </c>
      <c r="H251">
        <v>0.80216802168021684</v>
      </c>
      <c r="I251">
        <v>68.581100000000006</v>
      </c>
      <c r="J251">
        <v>31.418900000000001</v>
      </c>
      <c r="K251">
        <v>86.666700000000006</v>
      </c>
      <c r="L251">
        <v>86</v>
      </c>
      <c r="M251">
        <v>100</v>
      </c>
      <c r="N251">
        <v>762.66911000000005</v>
      </c>
      <c r="O251">
        <v>208.1</v>
      </c>
      <c r="P251">
        <v>554.29999999999995</v>
      </c>
      <c r="Q251">
        <v>0.26911000000000002</v>
      </c>
      <c r="R251">
        <v>155.30836300000001</v>
      </c>
      <c r="S251">
        <v>100</v>
      </c>
      <c r="T251">
        <v>0.95</v>
      </c>
      <c r="U251" t="s">
        <v>18</v>
      </c>
    </row>
    <row r="252" spans="1:21" hidden="1" x14ac:dyDescent="0.25">
      <c r="A252" t="s">
        <v>34</v>
      </c>
      <c r="B252">
        <v>400</v>
      </c>
      <c r="C252">
        <v>105</v>
      </c>
      <c r="D252">
        <v>4</v>
      </c>
      <c r="E252">
        <v>0.172509</v>
      </c>
      <c r="F252">
        <v>92.25</v>
      </c>
      <c r="G252">
        <v>74</v>
      </c>
      <c r="H252">
        <v>0.80216802168021684</v>
      </c>
      <c r="I252">
        <v>67.9054</v>
      </c>
      <c r="J252">
        <v>32.0946</v>
      </c>
      <c r="K252">
        <v>84.761899999999997</v>
      </c>
      <c r="L252">
        <v>84</v>
      </c>
      <c r="M252">
        <v>100</v>
      </c>
      <c r="N252">
        <v>763.06741</v>
      </c>
      <c r="O252">
        <v>208.1</v>
      </c>
      <c r="P252">
        <v>554.70000000000005</v>
      </c>
      <c r="Q252">
        <v>0.26740999999999998</v>
      </c>
      <c r="R252">
        <v>157.28323900000001</v>
      </c>
      <c r="S252">
        <v>100</v>
      </c>
      <c r="T252">
        <v>0.95</v>
      </c>
      <c r="U252" t="s">
        <v>18</v>
      </c>
    </row>
    <row r="253" spans="1:21" hidden="1" x14ac:dyDescent="0.25">
      <c r="A253" t="s">
        <v>34</v>
      </c>
      <c r="B253">
        <v>400</v>
      </c>
      <c r="C253">
        <v>105</v>
      </c>
      <c r="D253">
        <v>4</v>
      </c>
      <c r="E253">
        <v>0.17296</v>
      </c>
      <c r="F253">
        <v>92.25</v>
      </c>
      <c r="G253">
        <v>74</v>
      </c>
      <c r="H253">
        <v>0.80216802168021684</v>
      </c>
      <c r="I253">
        <v>68.581100000000006</v>
      </c>
      <c r="J253">
        <v>31.418900000000001</v>
      </c>
      <c r="K253">
        <v>87.619</v>
      </c>
      <c r="L253">
        <v>87</v>
      </c>
      <c r="M253">
        <v>100</v>
      </c>
      <c r="N253">
        <v>764.46960000000001</v>
      </c>
      <c r="O253">
        <v>208.1</v>
      </c>
      <c r="P253">
        <v>556.1</v>
      </c>
      <c r="Q253">
        <v>0.26960000000000001</v>
      </c>
      <c r="R253">
        <v>155.70187999999999</v>
      </c>
      <c r="S253">
        <v>100</v>
      </c>
      <c r="T253">
        <v>0.95</v>
      </c>
      <c r="U253" t="s">
        <v>18</v>
      </c>
    </row>
    <row r="254" spans="1:21" hidden="1" x14ac:dyDescent="0.25">
      <c r="A254" t="s">
        <v>34</v>
      </c>
      <c r="B254">
        <v>400</v>
      </c>
      <c r="C254">
        <v>105</v>
      </c>
      <c r="D254">
        <v>4</v>
      </c>
      <c r="E254">
        <v>0.17358399999999999</v>
      </c>
      <c r="F254">
        <v>92.25</v>
      </c>
      <c r="G254">
        <v>74</v>
      </c>
      <c r="H254">
        <v>0.80216802168021684</v>
      </c>
      <c r="I254">
        <v>68.243200000000002</v>
      </c>
      <c r="J254">
        <v>31.756799999999998</v>
      </c>
      <c r="K254">
        <v>85.714299999999994</v>
      </c>
      <c r="L254">
        <v>85</v>
      </c>
      <c r="M254">
        <v>100</v>
      </c>
      <c r="N254">
        <v>764.66826000000003</v>
      </c>
      <c r="O254">
        <v>208.1</v>
      </c>
      <c r="P254">
        <v>556.29999999999995</v>
      </c>
      <c r="Q254">
        <v>0.26826</v>
      </c>
      <c r="R254">
        <v>155.996318</v>
      </c>
      <c r="S254">
        <v>100</v>
      </c>
      <c r="T254">
        <v>0.95</v>
      </c>
      <c r="U254" t="s">
        <v>18</v>
      </c>
    </row>
    <row r="255" spans="1:21" hidden="1" x14ac:dyDescent="0.25">
      <c r="A255" t="s">
        <v>34</v>
      </c>
      <c r="B255">
        <v>400</v>
      </c>
      <c r="C255">
        <v>105</v>
      </c>
      <c r="D255">
        <v>4</v>
      </c>
      <c r="E255">
        <v>0.18091599999999999</v>
      </c>
      <c r="F255">
        <v>92.25</v>
      </c>
      <c r="G255">
        <v>74</v>
      </c>
      <c r="H255">
        <v>0.80216802168021684</v>
      </c>
      <c r="I255">
        <v>68.243200000000002</v>
      </c>
      <c r="J255">
        <v>31.756799999999998</v>
      </c>
      <c r="K255">
        <v>83.8095</v>
      </c>
      <c r="L255">
        <v>83</v>
      </c>
      <c r="M255">
        <v>100</v>
      </c>
      <c r="N255">
        <v>765.26620000000003</v>
      </c>
      <c r="O255">
        <v>208.1</v>
      </c>
      <c r="P255">
        <v>556.9</v>
      </c>
      <c r="Q255">
        <v>0.26619999999999999</v>
      </c>
      <c r="R255">
        <v>155.361277</v>
      </c>
      <c r="S255">
        <v>100</v>
      </c>
      <c r="T255">
        <v>0.95</v>
      </c>
      <c r="U255" t="s">
        <v>18</v>
      </c>
    </row>
    <row r="256" spans="1:21" hidden="1" x14ac:dyDescent="0.25">
      <c r="A256" t="s">
        <v>34</v>
      </c>
      <c r="B256">
        <v>400</v>
      </c>
      <c r="C256">
        <v>105</v>
      </c>
      <c r="D256">
        <v>4</v>
      </c>
      <c r="E256">
        <v>0.17218800000000001</v>
      </c>
      <c r="F256">
        <v>92.25</v>
      </c>
      <c r="G256">
        <v>74</v>
      </c>
      <c r="H256">
        <v>0.80216802168021684</v>
      </c>
      <c r="I256">
        <v>67.229699999999994</v>
      </c>
      <c r="J256">
        <v>32.770299999999999</v>
      </c>
      <c r="K256">
        <v>87.619</v>
      </c>
      <c r="L256">
        <v>87</v>
      </c>
      <c r="M256">
        <v>100</v>
      </c>
      <c r="N256">
        <v>765.26959999999997</v>
      </c>
      <c r="O256">
        <v>208.1</v>
      </c>
      <c r="P256">
        <v>556.9</v>
      </c>
      <c r="Q256">
        <v>0.26960000000000001</v>
      </c>
      <c r="R256">
        <v>158.40719300000001</v>
      </c>
      <c r="S256">
        <v>100</v>
      </c>
      <c r="T256">
        <v>0.95</v>
      </c>
      <c r="U256" t="s">
        <v>18</v>
      </c>
    </row>
    <row r="257" spans="1:21" hidden="1" x14ac:dyDescent="0.25">
      <c r="A257" t="s">
        <v>34</v>
      </c>
      <c r="B257">
        <v>400</v>
      </c>
      <c r="C257">
        <v>105</v>
      </c>
      <c r="D257">
        <v>4</v>
      </c>
      <c r="E257">
        <v>0.173956</v>
      </c>
      <c r="F257">
        <v>92.25</v>
      </c>
      <c r="G257">
        <v>74</v>
      </c>
      <c r="H257">
        <v>0.80216802168021684</v>
      </c>
      <c r="I257">
        <v>68.581100000000006</v>
      </c>
      <c r="J257">
        <v>31.418900000000001</v>
      </c>
      <c r="K257">
        <v>89.523799999999994</v>
      </c>
      <c r="L257">
        <v>89</v>
      </c>
      <c r="M257">
        <v>100</v>
      </c>
      <c r="N257">
        <v>765.27089000000001</v>
      </c>
      <c r="O257">
        <v>208.1</v>
      </c>
      <c r="P257">
        <v>556.9</v>
      </c>
      <c r="Q257">
        <v>0.27089000000000002</v>
      </c>
      <c r="R257">
        <v>155.96587500000001</v>
      </c>
      <c r="S257">
        <v>100</v>
      </c>
      <c r="T257">
        <v>0.95</v>
      </c>
      <c r="U257" t="s">
        <v>18</v>
      </c>
    </row>
    <row r="258" spans="1:21" hidden="1" x14ac:dyDescent="0.25">
      <c r="A258" t="s">
        <v>34</v>
      </c>
      <c r="B258">
        <v>400</v>
      </c>
      <c r="C258">
        <v>105</v>
      </c>
      <c r="D258">
        <v>4</v>
      </c>
      <c r="E258">
        <v>0.17877399999999999</v>
      </c>
      <c r="F258">
        <v>92.25</v>
      </c>
      <c r="G258">
        <v>74</v>
      </c>
      <c r="H258">
        <v>0.80216802168021684</v>
      </c>
      <c r="I258">
        <v>66.891900000000007</v>
      </c>
      <c r="J258">
        <v>33.1081</v>
      </c>
      <c r="K258">
        <v>86.666700000000006</v>
      </c>
      <c r="L258">
        <v>86</v>
      </c>
      <c r="M258">
        <v>100</v>
      </c>
      <c r="N258">
        <v>765.46887000000004</v>
      </c>
      <c r="O258">
        <v>208.1</v>
      </c>
      <c r="P258">
        <v>557.1</v>
      </c>
      <c r="Q258">
        <v>0.26887</v>
      </c>
      <c r="R258">
        <v>158.957515</v>
      </c>
      <c r="S258">
        <v>100</v>
      </c>
      <c r="T258">
        <v>0.95</v>
      </c>
      <c r="U258" t="s">
        <v>18</v>
      </c>
    </row>
    <row r="259" spans="1:21" hidden="1" x14ac:dyDescent="0.25">
      <c r="A259" t="s">
        <v>34</v>
      </c>
      <c r="B259">
        <v>400</v>
      </c>
      <c r="C259">
        <v>105</v>
      </c>
      <c r="D259">
        <v>4</v>
      </c>
      <c r="E259">
        <v>0.17258399999999999</v>
      </c>
      <c r="F259">
        <v>92.25</v>
      </c>
      <c r="G259">
        <v>74</v>
      </c>
      <c r="H259">
        <v>0.80216802168021684</v>
      </c>
      <c r="I259">
        <v>68.243200000000002</v>
      </c>
      <c r="J259">
        <v>31.756799999999998</v>
      </c>
      <c r="K259">
        <v>87.619</v>
      </c>
      <c r="L259">
        <v>87</v>
      </c>
      <c r="M259">
        <v>100</v>
      </c>
      <c r="N259">
        <v>765.46996000000001</v>
      </c>
      <c r="O259">
        <v>208.1</v>
      </c>
      <c r="P259">
        <v>557.1</v>
      </c>
      <c r="Q259">
        <v>0.26995999999999998</v>
      </c>
      <c r="R259">
        <v>155.44617400000001</v>
      </c>
      <c r="S259">
        <v>100</v>
      </c>
      <c r="T259">
        <v>0.95</v>
      </c>
      <c r="U259" t="s">
        <v>18</v>
      </c>
    </row>
    <row r="260" spans="1:21" hidden="1" x14ac:dyDescent="0.25">
      <c r="A260" t="s">
        <v>34</v>
      </c>
      <c r="B260">
        <v>400</v>
      </c>
      <c r="C260">
        <v>105</v>
      </c>
      <c r="D260">
        <v>4</v>
      </c>
      <c r="E260">
        <v>0.176256</v>
      </c>
      <c r="F260">
        <v>92.25</v>
      </c>
      <c r="G260">
        <v>74</v>
      </c>
      <c r="H260">
        <v>0.80216802168021684</v>
      </c>
      <c r="I260">
        <v>68.581100000000006</v>
      </c>
      <c r="J260">
        <v>31.418900000000001</v>
      </c>
      <c r="K260">
        <v>88.571399999999997</v>
      </c>
      <c r="L260">
        <v>88</v>
      </c>
      <c r="M260">
        <v>100</v>
      </c>
      <c r="N260">
        <v>765.67080999999996</v>
      </c>
      <c r="O260">
        <v>208.1</v>
      </c>
      <c r="P260">
        <v>557.29999999999995</v>
      </c>
      <c r="Q260">
        <v>0.27081</v>
      </c>
      <c r="R260">
        <v>154.94569300000001</v>
      </c>
      <c r="S260">
        <v>100</v>
      </c>
      <c r="T260">
        <v>0.95</v>
      </c>
      <c r="U260" t="s">
        <v>18</v>
      </c>
    </row>
    <row r="261" spans="1:21" hidden="1" x14ac:dyDescent="0.25">
      <c r="A261" t="s">
        <v>34</v>
      </c>
      <c r="B261">
        <v>400</v>
      </c>
      <c r="C261">
        <v>105</v>
      </c>
      <c r="D261">
        <v>4</v>
      </c>
      <c r="E261">
        <v>0.17338999999999999</v>
      </c>
      <c r="F261">
        <v>92.25</v>
      </c>
      <c r="G261">
        <v>74</v>
      </c>
      <c r="H261">
        <v>0.80216802168021684</v>
      </c>
      <c r="I261">
        <v>67.567599999999999</v>
      </c>
      <c r="J261">
        <v>32.432400000000001</v>
      </c>
      <c r="K261">
        <v>90.476200000000006</v>
      </c>
      <c r="L261">
        <v>90</v>
      </c>
      <c r="M261">
        <v>100</v>
      </c>
      <c r="N261">
        <v>765.67263000000003</v>
      </c>
      <c r="O261">
        <v>208.1</v>
      </c>
      <c r="P261">
        <v>557.29999999999995</v>
      </c>
      <c r="Q261">
        <v>0.27262999999999998</v>
      </c>
      <c r="R261">
        <v>157.87787399999999</v>
      </c>
      <c r="S261">
        <v>100</v>
      </c>
      <c r="T261">
        <v>0.95</v>
      </c>
      <c r="U261" t="s">
        <v>18</v>
      </c>
    </row>
    <row r="262" spans="1:21" hidden="1" x14ac:dyDescent="0.25">
      <c r="A262" t="s">
        <v>34</v>
      </c>
      <c r="B262">
        <v>400</v>
      </c>
      <c r="C262">
        <v>105</v>
      </c>
      <c r="D262">
        <v>4</v>
      </c>
      <c r="E262">
        <v>0.17416599999999999</v>
      </c>
      <c r="F262">
        <v>92.25</v>
      </c>
      <c r="G262">
        <v>74</v>
      </c>
      <c r="H262">
        <v>0.80216802168021684</v>
      </c>
      <c r="I262">
        <v>68.581100000000006</v>
      </c>
      <c r="J262">
        <v>31.418900000000001</v>
      </c>
      <c r="K262">
        <v>87.619</v>
      </c>
      <c r="L262">
        <v>87</v>
      </c>
      <c r="M262">
        <v>100</v>
      </c>
      <c r="N262">
        <v>766.26972000000001</v>
      </c>
      <c r="O262">
        <v>208.1</v>
      </c>
      <c r="P262">
        <v>557.9</v>
      </c>
      <c r="Q262">
        <v>0.26972000000000002</v>
      </c>
      <c r="R262">
        <v>155.921886</v>
      </c>
      <c r="S262">
        <v>100</v>
      </c>
      <c r="T262">
        <v>0.95</v>
      </c>
      <c r="U262" t="s">
        <v>18</v>
      </c>
    </row>
    <row r="263" spans="1:21" hidden="1" x14ac:dyDescent="0.25">
      <c r="A263" t="s">
        <v>34</v>
      </c>
      <c r="B263">
        <v>400</v>
      </c>
      <c r="C263">
        <v>105</v>
      </c>
      <c r="D263">
        <v>4</v>
      </c>
      <c r="E263">
        <v>0.171489</v>
      </c>
      <c r="F263">
        <v>92.25</v>
      </c>
      <c r="G263">
        <v>74</v>
      </c>
      <c r="H263">
        <v>0.80216802168021684</v>
      </c>
      <c r="I263">
        <v>69.256799999999998</v>
      </c>
      <c r="J263">
        <v>30.743200000000002</v>
      </c>
      <c r="K263">
        <v>85.714299999999994</v>
      </c>
      <c r="L263">
        <v>85</v>
      </c>
      <c r="M263">
        <v>100</v>
      </c>
      <c r="N263">
        <v>766.46802000000002</v>
      </c>
      <c r="O263">
        <v>208.1</v>
      </c>
      <c r="P263">
        <v>558.1</v>
      </c>
      <c r="Q263">
        <v>0.26801999999999998</v>
      </c>
      <c r="R263">
        <v>154.93200999999999</v>
      </c>
      <c r="S263">
        <v>100</v>
      </c>
      <c r="T263">
        <v>0.95</v>
      </c>
      <c r="U263" t="s">
        <v>18</v>
      </c>
    </row>
    <row r="264" spans="1:21" hidden="1" x14ac:dyDescent="0.25">
      <c r="A264" t="s">
        <v>34</v>
      </c>
      <c r="B264">
        <v>400</v>
      </c>
      <c r="C264">
        <v>105</v>
      </c>
      <c r="D264">
        <v>4</v>
      </c>
      <c r="E264">
        <v>0.179564</v>
      </c>
      <c r="F264">
        <v>92.25</v>
      </c>
      <c r="G264">
        <v>74</v>
      </c>
      <c r="H264">
        <v>0.80216802168021684</v>
      </c>
      <c r="I264">
        <v>66.891900000000007</v>
      </c>
      <c r="J264">
        <v>33.1081</v>
      </c>
      <c r="K264">
        <v>87.619</v>
      </c>
      <c r="L264">
        <v>87</v>
      </c>
      <c r="M264">
        <v>100</v>
      </c>
      <c r="N264">
        <v>766.46960000000001</v>
      </c>
      <c r="O264">
        <v>208.1</v>
      </c>
      <c r="P264">
        <v>558.1</v>
      </c>
      <c r="Q264">
        <v>0.26960000000000001</v>
      </c>
      <c r="R264">
        <v>158.14574200000001</v>
      </c>
      <c r="S264">
        <v>100</v>
      </c>
      <c r="T264">
        <v>0.95</v>
      </c>
      <c r="U264" t="s">
        <v>18</v>
      </c>
    </row>
    <row r="265" spans="1:21" hidden="1" x14ac:dyDescent="0.25">
      <c r="A265" t="s">
        <v>34</v>
      </c>
      <c r="B265">
        <v>400</v>
      </c>
      <c r="C265">
        <v>105</v>
      </c>
      <c r="D265">
        <v>4</v>
      </c>
      <c r="E265">
        <v>0.17469799999999999</v>
      </c>
      <c r="F265">
        <v>92.25</v>
      </c>
      <c r="G265">
        <v>74</v>
      </c>
      <c r="H265">
        <v>0.80216802168021684</v>
      </c>
      <c r="I265">
        <v>68.918899999999994</v>
      </c>
      <c r="J265">
        <v>31.081099999999999</v>
      </c>
      <c r="K265">
        <v>88.571399999999997</v>
      </c>
      <c r="L265">
        <v>88</v>
      </c>
      <c r="M265">
        <v>100</v>
      </c>
      <c r="N265">
        <v>766.47092999999995</v>
      </c>
      <c r="O265">
        <v>208.1</v>
      </c>
      <c r="P265">
        <v>558.1</v>
      </c>
      <c r="Q265">
        <v>0.27093</v>
      </c>
      <c r="R265">
        <v>155.56616199999999</v>
      </c>
      <c r="S265">
        <v>100</v>
      </c>
      <c r="T265">
        <v>0.95</v>
      </c>
      <c r="U265" t="s">
        <v>18</v>
      </c>
    </row>
    <row r="266" spans="1:21" hidden="1" x14ac:dyDescent="0.25">
      <c r="A266" t="s">
        <v>34</v>
      </c>
      <c r="B266">
        <v>400</v>
      </c>
      <c r="C266">
        <v>105</v>
      </c>
      <c r="D266">
        <v>4</v>
      </c>
      <c r="E266">
        <v>0.174674</v>
      </c>
      <c r="F266">
        <v>92.25</v>
      </c>
      <c r="G266">
        <v>74</v>
      </c>
      <c r="H266">
        <v>0.80216802168021684</v>
      </c>
      <c r="I266">
        <v>68.243200000000002</v>
      </c>
      <c r="J266">
        <v>31.756799999999998</v>
      </c>
      <c r="K266">
        <v>84.761899999999997</v>
      </c>
      <c r="L266">
        <v>84</v>
      </c>
      <c r="M266">
        <v>100</v>
      </c>
      <c r="N266">
        <v>766.66741000000002</v>
      </c>
      <c r="O266">
        <v>208.1</v>
      </c>
      <c r="P266">
        <v>558.29999999999995</v>
      </c>
      <c r="Q266">
        <v>0.26740999999999998</v>
      </c>
      <c r="R266">
        <v>156.383149</v>
      </c>
      <c r="S266">
        <v>100</v>
      </c>
      <c r="T266">
        <v>0.95</v>
      </c>
      <c r="U266" t="s">
        <v>18</v>
      </c>
    </row>
    <row r="267" spans="1:21" hidden="1" x14ac:dyDescent="0.25">
      <c r="A267" t="s">
        <v>34</v>
      </c>
      <c r="B267">
        <v>400</v>
      </c>
      <c r="C267">
        <v>105</v>
      </c>
      <c r="D267">
        <v>4</v>
      </c>
      <c r="E267">
        <v>0.17441000000000001</v>
      </c>
      <c r="F267">
        <v>92.25</v>
      </c>
      <c r="G267">
        <v>74</v>
      </c>
      <c r="H267">
        <v>0.80216802168021684</v>
      </c>
      <c r="I267">
        <v>68.243200000000002</v>
      </c>
      <c r="J267">
        <v>31.756799999999998</v>
      </c>
      <c r="K267">
        <v>86.666700000000006</v>
      </c>
      <c r="L267">
        <v>86</v>
      </c>
      <c r="M267">
        <v>100</v>
      </c>
      <c r="N267">
        <v>767.66875000000005</v>
      </c>
      <c r="O267">
        <v>208.1</v>
      </c>
      <c r="P267">
        <v>559.29999999999995</v>
      </c>
      <c r="Q267">
        <v>0.26874999999999999</v>
      </c>
      <c r="R267">
        <v>155.70688100000001</v>
      </c>
      <c r="S267">
        <v>100</v>
      </c>
      <c r="T267">
        <v>0.95</v>
      </c>
      <c r="U267" t="s">
        <v>18</v>
      </c>
    </row>
    <row r="268" spans="1:21" hidden="1" x14ac:dyDescent="0.25">
      <c r="A268" t="s">
        <v>34</v>
      </c>
      <c r="B268">
        <v>400</v>
      </c>
      <c r="C268">
        <v>105</v>
      </c>
      <c r="D268">
        <v>4</v>
      </c>
      <c r="E268">
        <v>0.17530599999999999</v>
      </c>
      <c r="F268">
        <v>92.25</v>
      </c>
      <c r="G268">
        <v>73.75</v>
      </c>
      <c r="H268">
        <v>0.79945799457994582</v>
      </c>
      <c r="I268">
        <v>68.813599999999994</v>
      </c>
      <c r="J268">
        <v>31.186399999999999</v>
      </c>
      <c r="K268">
        <v>86.666700000000006</v>
      </c>
      <c r="L268">
        <v>86</v>
      </c>
      <c r="M268">
        <v>100</v>
      </c>
      <c r="N268">
        <v>769.76910999999996</v>
      </c>
      <c r="O268">
        <v>208.1</v>
      </c>
      <c r="P268">
        <v>561.4</v>
      </c>
      <c r="Q268">
        <v>0.26911000000000002</v>
      </c>
      <c r="R268">
        <v>155.19629</v>
      </c>
      <c r="S268">
        <v>100</v>
      </c>
      <c r="T268">
        <v>0.95</v>
      </c>
      <c r="U268" t="s">
        <v>18</v>
      </c>
    </row>
    <row r="269" spans="1:21" hidden="1" x14ac:dyDescent="0.25">
      <c r="A269" t="s">
        <v>34</v>
      </c>
      <c r="B269">
        <v>400</v>
      </c>
      <c r="C269">
        <v>105</v>
      </c>
      <c r="D269">
        <v>4</v>
      </c>
      <c r="E269">
        <v>0.17852199999999999</v>
      </c>
      <c r="F269">
        <v>92.25</v>
      </c>
      <c r="G269">
        <v>73.75</v>
      </c>
      <c r="H269">
        <v>0.79945799457994582</v>
      </c>
      <c r="I269">
        <v>68.135599999999997</v>
      </c>
      <c r="J269">
        <v>31.8644</v>
      </c>
      <c r="K269">
        <v>86.666700000000006</v>
      </c>
      <c r="L269">
        <v>86</v>
      </c>
      <c r="M269">
        <v>100</v>
      </c>
      <c r="N269">
        <v>770.56911000000002</v>
      </c>
      <c r="O269">
        <v>208.1</v>
      </c>
      <c r="P269">
        <v>562.20000000000005</v>
      </c>
      <c r="Q269">
        <v>0.26911000000000002</v>
      </c>
      <c r="R269">
        <v>157.324589</v>
      </c>
      <c r="S269">
        <v>100</v>
      </c>
      <c r="T269">
        <v>0.95</v>
      </c>
      <c r="U269" t="s">
        <v>18</v>
      </c>
    </row>
    <row r="270" spans="1:21" hidden="1" x14ac:dyDescent="0.25">
      <c r="A270" t="s">
        <v>34</v>
      </c>
      <c r="B270">
        <v>400</v>
      </c>
      <c r="C270">
        <v>105</v>
      </c>
      <c r="D270">
        <v>4</v>
      </c>
      <c r="E270">
        <v>0.17308799999999999</v>
      </c>
      <c r="F270">
        <v>92.25</v>
      </c>
      <c r="G270">
        <v>73.75</v>
      </c>
      <c r="H270">
        <v>0.79945799457994582</v>
      </c>
      <c r="I270">
        <v>67.796599999999998</v>
      </c>
      <c r="J270">
        <v>32.203400000000002</v>
      </c>
      <c r="K270">
        <v>87.619</v>
      </c>
      <c r="L270">
        <v>87</v>
      </c>
      <c r="M270">
        <v>100</v>
      </c>
      <c r="N270">
        <v>770.56971999999996</v>
      </c>
      <c r="O270">
        <v>208.1</v>
      </c>
      <c r="P270">
        <v>562.20000000000005</v>
      </c>
      <c r="Q270">
        <v>0.26972000000000002</v>
      </c>
      <c r="R270">
        <v>157.864991</v>
      </c>
      <c r="S270">
        <v>100</v>
      </c>
      <c r="T270">
        <v>0.95</v>
      </c>
      <c r="U270" t="s">
        <v>18</v>
      </c>
    </row>
    <row r="271" spans="1:21" hidden="1" x14ac:dyDescent="0.25">
      <c r="A271" t="s">
        <v>34</v>
      </c>
      <c r="B271">
        <v>400</v>
      </c>
      <c r="C271">
        <v>105</v>
      </c>
      <c r="D271">
        <v>4</v>
      </c>
      <c r="E271">
        <v>0.172733</v>
      </c>
      <c r="F271">
        <v>92.25</v>
      </c>
      <c r="G271">
        <v>73.75</v>
      </c>
      <c r="H271">
        <v>0.79945799457994582</v>
      </c>
      <c r="I271">
        <v>68.135599999999997</v>
      </c>
      <c r="J271">
        <v>31.8644</v>
      </c>
      <c r="K271">
        <v>85.714299999999994</v>
      </c>
      <c r="L271">
        <v>85</v>
      </c>
      <c r="M271">
        <v>100</v>
      </c>
      <c r="N271">
        <v>770.96789999999999</v>
      </c>
      <c r="O271">
        <v>208.1</v>
      </c>
      <c r="P271">
        <v>562.6</v>
      </c>
      <c r="Q271">
        <v>0.26790000000000003</v>
      </c>
      <c r="R271">
        <v>156.40570600000001</v>
      </c>
      <c r="S271">
        <v>100</v>
      </c>
      <c r="T271">
        <v>0.95</v>
      </c>
      <c r="U271" t="s">
        <v>18</v>
      </c>
    </row>
    <row r="272" spans="1:21" hidden="1" x14ac:dyDescent="0.25">
      <c r="A272" t="s">
        <v>34</v>
      </c>
      <c r="B272">
        <v>400</v>
      </c>
      <c r="C272">
        <v>105</v>
      </c>
      <c r="D272">
        <v>4</v>
      </c>
      <c r="E272">
        <v>0.17577799999999999</v>
      </c>
      <c r="F272">
        <v>92.25</v>
      </c>
      <c r="G272">
        <v>73.75</v>
      </c>
      <c r="H272">
        <v>0.79945799457994582</v>
      </c>
      <c r="I272">
        <v>69.152500000000003</v>
      </c>
      <c r="J272">
        <v>30.8475</v>
      </c>
      <c r="K272">
        <v>87.619</v>
      </c>
      <c r="L272">
        <v>87</v>
      </c>
      <c r="M272">
        <v>100</v>
      </c>
      <c r="N272">
        <v>770.96960000000001</v>
      </c>
      <c r="O272">
        <v>208.1</v>
      </c>
      <c r="P272">
        <v>562.6</v>
      </c>
      <c r="Q272">
        <v>0.26960000000000001</v>
      </c>
      <c r="R272">
        <v>155.99608900000001</v>
      </c>
      <c r="S272">
        <v>100</v>
      </c>
      <c r="T272">
        <v>0.95</v>
      </c>
      <c r="U272" t="s">
        <v>18</v>
      </c>
    </row>
    <row r="273" spans="1:21" hidden="1" x14ac:dyDescent="0.25">
      <c r="A273" t="s">
        <v>34</v>
      </c>
      <c r="B273">
        <v>400</v>
      </c>
      <c r="C273">
        <v>105</v>
      </c>
      <c r="D273">
        <v>4</v>
      </c>
      <c r="E273">
        <v>0.175289</v>
      </c>
      <c r="F273">
        <v>92.25</v>
      </c>
      <c r="G273">
        <v>73.75</v>
      </c>
      <c r="H273">
        <v>0.79945799457994582</v>
      </c>
      <c r="I273">
        <v>66.779700000000005</v>
      </c>
      <c r="J273">
        <v>33.220300000000002</v>
      </c>
      <c r="K273">
        <v>86.666700000000006</v>
      </c>
      <c r="L273">
        <v>86</v>
      </c>
      <c r="M273">
        <v>100</v>
      </c>
      <c r="N273">
        <v>772.16875000000005</v>
      </c>
      <c r="O273">
        <v>208.1</v>
      </c>
      <c r="P273">
        <v>563.79999999999995</v>
      </c>
      <c r="Q273">
        <v>0.26874999999999999</v>
      </c>
      <c r="R273">
        <v>158.35252299999999</v>
      </c>
      <c r="S273">
        <v>100</v>
      </c>
      <c r="T273">
        <v>0.95</v>
      </c>
      <c r="U273" t="s">
        <v>18</v>
      </c>
    </row>
    <row r="274" spans="1:21" hidden="1" x14ac:dyDescent="0.25">
      <c r="A274" t="s">
        <v>34</v>
      </c>
      <c r="B274">
        <v>400</v>
      </c>
      <c r="C274">
        <v>105</v>
      </c>
      <c r="D274">
        <v>4</v>
      </c>
      <c r="E274">
        <v>0.170042</v>
      </c>
      <c r="F274">
        <v>92.25</v>
      </c>
      <c r="G274">
        <v>73.75</v>
      </c>
      <c r="H274">
        <v>0.79945799457994582</v>
      </c>
      <c r="I274">
        <v>67.796599999999998</v>
      </c>
      <c r="J274">
        <v>32.203400000000002</v>
      </c>
      <c r="K274">
        <v>87.619</v>
      </c>
      <c r="L274">
        <v>87</v>
      </c>
      <c r="M274">
        <v>100</v>
      </c>
      <c r="N274">
        <v>772.16959999999995</v>
      </c>
      <c r="O274">
        <v>208.1</v>
      </c>
      <c r="P274">
        <v>563.79999999999995</v>
      </c>
      <c r="Q274">
        <v>0.26960000000000001</v>
      </c>
      <c r="R274">
        <v>158.169995</v>
      </c>
      <c r="S274">
        <v>100</v>
      </c>
      <c r="T274">
        <v>0.95</v>
      </c>
      <c r="U274" t="s">
        <v>18</v>
      </c>
    </row>
    <row r="275" spans="1:21" hidden="1" x14ac:dyDescent="0.25">
      <c r="A275" t="s">
        <v>34</v>
      </c>
      <c r="B275">
        <v>400</v>
      </c>
      <c r="C275">
        <v>105</v>
      </c>
      <c r="D275">
        <v>4</v>
      </c>
      <c r="E275">
        <v>0.171594</v>
      </c>
      <c r="F275">
        <v>92.25</v>
      </c>
      <c r="G275">
        <v>73.75</v>
      </c>
      <c r="H275">
        <v>0.79945799457994582</v>
      </c>
      <c r="I275">
        <v>68.135599999999997</v>
      </c>
      <c r="J275">
        <v>31.8644</v>
      </c>
      <c r="K275">
        <v>87.619</v>
      </c>
      <c r="L275">
        <v>87</v>
      </c>
      <c r="M275">
        <v>100</v>
      </c>
      <c r="N275">
        <v>772.16995999999995</v>
      </c>
      <c r="O275">
        <v>208.1</v>
      </c>
      <c r="P275">
        <v>563.79999999999995</v>
      </c>
      <c r="Q275">
        <v>0.26995999999999998</v>
      </c>
      <c r="R275">
        <v>156.793713</v>
      </c>
      <c r="S275">
        <v>100</v>
      </c>
      <c r="T275">
        <v>0.95</v>
      </c>
      <c r="U275" t="s">
        <v>18</v>
      </c>
    </row>
    <row r="276" spans="1:21" hidden="1" x14ac:dyDescent="0.25">
      <c r="A276" t="s">
        <v>34</v>
      </c>
      <c r="B276">
        <v>400</v>
      </c>
      <c r="C276">
        <v>105</v>
      </c>
      <c r="D276">
        <v>4</v>
      </c>
      <c r="E276">
        <v>0.173342</v>
      </c>
      <c r="F276">
        <v>92.25</v>
      </c>
      <c r="G276">
        <v>73.75</v>
      </c>
      <c r="H276">
        <v>0.79945799457994582</v>
      </c>
      <c r="I276">
        <v>67.457599999999999</v>
      </c>
      <c r="J276">
        <v>32.542400000000001</v>
      </c>
      <c r="K276">
        <v>88.571399999999997</v>
      </c>
      <c r="L276">
        <v>88</v>
      </c>
      <c r="M276">
        <v>100</v>
      </c>
      <c r="N276">
        <v>772.37045000000001</v>
      </c>
      <c r="O276">
        <v>208.1</v>
      </c>
      <c r="P276">
        <v>564</v>
      </c>
      <c r="Q276">
        <v>0.27045000000000002</v>
      </c>
      <c r="R276">
        <v>157.25785999999999</v>
      </c>
      <c r="S276">
        <v>100</v>
      </c>
      <c r="T276">
        <v>0.95</v>
      </c>
      <c r="U276" t="s">
        <v>18</v>
      </c>
    </row>
    <row r="277" spans="1:21" hidden="1" x14ac:dyDescent="0.25">
      <c r="A277" t="s">
        <v>34</v>
      </c>
      <c r="B277">
        <v>400</v>
      </c>
      <c r="C277">
        <v>105</v>
      </c>
      <c r="D277">
        <v>4</v>
      </c>
      <c r="E277">
        <v>0.174952</v>
      </c>
      <c r="F277">
        <v>92.25</v>
      </c>
      <c r="G277">
        <v>73.75</v>
      </c>
      <c r="H277">
        <v>0.79945799457994582</v>
      </c>
      <c r="I277">
        <v>67.457599999999999</v>
      </c>
      <c r="J277">
        <v>32.542400000000001</v>
      </c>
      <c r="K277">
        <v>86.666700000000006</v>
      </c>
      <c r="L277">
        <v>86</v>
      </c>
      <c r="M277">
        <v>100</v>
      </c>
      <c r="N277">
        <v>773.16875000000005</v>
      </c>
      <c r="O277">
        <v>208.1</v>
      </c>
      <c r="P277">
        <v>564.79999999999995</v>
      </c>
      <c r="Q277">
        <v>0.26874999999999999</v>
      </c>
      <c r="R277">
        <v>156.712052</v>
      </c>
      <c r="S277">
        <v>100</v>
      </c>
      <c r="T277">
        <v>0.95</v>
      </c>
      <c r="U277" t="s">
        <v>18</v>
      </c>
    </row>
    <row r="278" spans="1:21" hidden="1" x14ac:dyDescent="0.25">
      <c r="A278" t="s">
        <v>34</v>
      </c>
      <c r="B278">
        <v>400</v>
      </c>
      <c r="C278">
        <v>105</v>
      </c>
      <c r="D278">
        <v>4</v>
      </c>
      <c r="E278">
        <v>0.17396</v>
      </c>
      <c r="F278">
        <v>92.25</v>
      </c>
      <c r="G278">
        <v>73.75</v>
      </c>
      <c r="H278">
        <v>0.79945799457994582</v>
      </c>
      <c r="I278">
        <v>68.813599999999994</v>
      </c>
      <c r="J278">
        <v>31.186399999999999</v>
      </c>
      <c r="K278">
        <v>87.619</v>
      </c>
      <c r="L278">
        <v>87</v>
      </c>
      <c r="M278">
        <v>100</v>
      </c>
      <c r="N278">
        <v>773.16971999999998</v>
      </c>
      <c r="O278">
        <v>208.1</v>
      </c>
      <c r="P278">
        <v>564.79999999999995</v>
      </c>
      <c r="Q278">
        <v>0.26972000000000002</v>
      </c>
      <c r="R278">
        <v>156.46125499999999</v>
      </c>
      <c r="S278">
        <v>100</v>
      </c>
      <c r="T278">
        <v>0.95</v>
      </c>
      <c r="U278" t="s">
        <v>18</v>
      </c>
    </row>
    <row r="279" spans="1:21" hidden="1" x14ac:dyDescent="0.25">
      <c r="A279" t="s">
        <v>34</v>
      </c>
      <c r="B279">
        <v>400</v>
      </c>
      <c r="C279">
        <v>105</v>
      </c>
      <c r="D279">
        <v>4</v>
      </c>
      <c r="E279">
        <v>0.175014</v>
      </c>
      <c r="F279">
        <v>92.25</v>
      </c>
      <c r="G279">
        <v>73.75</v>
      </c>
      <c r="H279">
        <v>0.79945799457994582</v>
      </c>
      <c r="I279">
        <v>68.813599999999994</v>
      </c>
      <c r="J279">
        <v>31.186399999999999</v>
      </c>
      <c r="K279">
        <v>87.619</v>
      </c>
      <c r="L279">
        <v>87</v>
      </c>
      <c r="M279">
        <v>100</v>
      </c>
      <c r="N279">
        <v>773.56971999999996</v>
      </c>
      <c r="O279">
        <v>208.1</v>
      </c>
      <c r="P279">
        <v>565.20000000000005</v>
      </c>
      <c r="Q279">
        <v>0.26972000000000002</v>
      </c>
      <c r="R279">
        <v>154.830814</v>
      </c>
      <c r="S279">
        <v>100</v>
      </c>
      <c r="T279">
        <v>0.95</v>
      </c>
      <c r="U279" t="s">
        <v>18</v>
      </c>
    </row>
    <row r="280" spans="1:21" hidden="1" x14ac:dyDescent="0.25">
      <c r="A280" t="s">
        <v>34</v>
      </c>
      <c r="B280">
        <v>400</v>
      </c>
      <c r="C280">
        <v>105</v>
      </c>
      <c r="D280">
        <v>4</v>
      </c>
      <c r="E280">
        <v>0.172767</v>
      </c>
      <c r="F280">
        <v>92.25</v>
      </c>
      <c r="G280">
        <v>73.75</v>
      </c>
      <c r="H280">
        <v>0.79945799457994582</v>
      </c>
      <c r="I280">
        <v>68.813599999999994</v>
      </c>
      <c r="J280">
        <v>31.186399999999999</v>
      </c>
      <c r="K280">
        <v>84.761899999999997</v>
      </c>
      <c r="L280">
        <v>84</v>
      </c>
      <c r="M280">
        <v>100</v>
      </c>
      <c r="N280">
        <v>773.76705000000004</v>
      </c>
      <c r="O280">
        <v>208.1</v>
      </c>
      <c r="P280">
        <v>565.4</v>
      </c>
      <c r="Q280">
        <v>0.26705000000000001</v>
      </c>
      <c r="R280">
        <v>156.19902300000001</v>
      </c>
      <c r="S280">
        <v>100</v>
      </c>
      <c r="T280">
        <v>0.95</v>
      </c>
      <c r="U280" t="s">
        <v>18</v>
      </c>
    </row>
    <row r="281" spans="1:21" hidden="1" x14ac:dyDescent="0.25">
      <c r="A281" t="s">
        <v>34</v>
      </c>
      <c r="B281">
        <v>400</v>
      </c>
      <c r="C281">
        <v>105</v>
      </c>
      <c r="D281">
        <v>4</v>
      </c>
      <c r="E281">
        <v>0.180147</v>
      </c>
      <c r="F281">
        <v>92.25</v>
      </c>
      <c r="G281">
        <v>73.75</v>
      </c>
      <c r="H281">
        <v>0.79945799457994582</v>
      </c>
      <c r="I281">
        <v>68.474599999999995</v>
      </c>
      <c r="J281">
        <v>31.525400000000001</v>
      </c>
      <c r="K281">
        <v>86.666700000000006</v>
      </c>
      <c r="L281">
        <v>86</v>
      </c>
      <c r="M281">
        <v>100</v>
      </c>
      <c r="N281">
        <v>773.96887000000004</v>
      </c>
      <c r="O281">
        <v>208.1</v>
      </c>
      <c r="P281">
        <v>565.6</v>
      </c>
      <c r="Q281">
        <v>0.26887</v>
      </c>
      <c r="R281">
        <v>156.256575</v>
      </c>
      <c r="S281">
        <v>100</v>
      </c>
      <c r="T281">
        <v>0.95</v>
      </c>
      <c r="U281" t="s">
        <v>18</v>
      </c>
    </row>
    <row r="282" spans="1:21" hidden="1" x14ac:dyDescent="0.25">
      <c r="A282" t="s">
        <v>34</v>
      </c>
      <c r="B282">
        <v>400</v>
      </c>
      <c r="C282">
        <v>105</v>
      </c>
      <c r="D282">
        <v>4</v>
      </c>
      <c r="E282">
        <v>0.17594499999999999</v>
      </c>
      <c r="F282">
        <v>92.25</v>
      </c>
      <c r="G282">
        <v>73.75</v>
      </c>
      <c r="H282">
        <v>0.79945799457994582</v>
      </c>
      <c r="I282">
        <v>67.457599999999999</v>
      </c>
      <c r="J282">
        <v>32.542400000000001</v>
      </c>
      <c r="K282">
        <v>84.761899999999997</v>
      </c>
      <c r="L282">
        <v>84</v>
      </c>
      <c r="M282">
        <v>100</v>
      </c>
      <c r="N282">
        <v>774.16741000000002</v>
      </c>
      <c r="O282">
        <v>208.1</v>
      </c>
      <c r="P282">
        <v>565.79999999999995</v>
      </c>
      <c r="Q282">
        <v>0.26740999999999998</v>
      </c>
      <c r="R282">
        <v>157.35982899999999</v>
      </c>
      <c r="S282">
        <v>100</v>
      </c>
      <c r="T282">
        <v>0.95</v>
      </c>
      <c r="U282" t="s">
        <v>18</v>
      </c>
    </row>
    <row r="283" spans="1:21" hidden="1" x14ac:dyDescent="0.25">
      <c r="A283" t="s">
        <v>34</v>
      </c>
      <c r="B283">
        <v>400</v>
      </c>
      <c r="C283">
        <v>105</v>
      </c>
      <c r="D283">
        <v>4</v>
      </c>
      <c r="E283">
        <v>0.172787</v>
      </c>
      <c r="F283">
        <v>92.25</v>
      </c>
      <c r="G283">
        <v>73.75</v>
      </c>
      <c r="H283">
        <v>0.79945799457994582</v>
      </c>
      <c r="I283">
        <v>68.813599999999994</v>
      </c>
      <c r="J283">
        <v>31.186399999999999</v>
      </c>
      <c r="K283">
        <v>85.714299999999994</v>
      </c>
      <c r="L283">
        <v>85</v>
      </c>
      <c r="M283">
        <v>100</v>
      </c>
      <c r="N283">
        <v>774.36825999999996</v>
      </c>
      <c r="O283">
        <v>208.1</v>
      </c>
      <c r="P283">
        <v>566</v>
      </c>
      <c r="Q283">
        <v>0.26826</v>
      </c>
      <c r="R283">
        <v>155.31768</v>
      </c>
      <c r="S283">
        <v>100</v>
      </c>
      <c r="T283">
        <v>0.95</v>
      </c>
      <c r="U283" t="s">
        <v>18</v>
      </c>
    </row>
    <row r="284" spans="1:21" hidden="1" x14ac:dyDescent="0.25">
      <c r="A284" t="s">
        <v>34</v>
      </c>
      <c r="B284">
        <v>400</v>
      </c>
      <c r="C284">
        <v>105</v>
      </c>
      <c r="D284">
        <v>4</v>
      </c>
      <c r="E284">
        <v>0.17462900000000001</v>
      </c>
      <c r="F284">
        <v>92.25</v>
      </c>
      <c r="G284">
        <v>73.75</v>
      </c>
      <c r="H284">
        <v>0.79945799457994582</v>
      </c>
      <c r="I284">
        <v>68.135599999999997</v>
      </c>
      <c r="J284">
        <v>31.8644</v>
      </c>
      <c r="K284">
        <v>87.619</v>
      </c>
      <c r="L284">
        <v>87</v>
      </c>
      <c r="M284">
        <v>100</v>
      </c>
      <c r="N284">
        <v>774.36972000000003</v>
      </c>
      <c r="O284">
        <v>208.1</v>
      </c>
      <c r="P284">
        <v>566</v>
      </c>
      <c r="Q284">
        <v>0.26972000000000002</v>
      </c>
      <c r="R284">
        <v>156.79067499999999</v>
      </c>
      <c r="S284">
        <v>100</v>
      </c>
      <c r="T284">
        <v>0.95</v>
      </c>
      <c r="U284" t="s">
        <v>18</v>
      </c>
    </row>
    <row r="285" spans="1:21" hidden="1" x14ac:dyDescent="0.25">
      <c r="A285" t="s">
        <v>34</v>
      </c>
      <c r="B285">
        <v>400</v>
      </c>
      <c r="C285">
        <v>105</v>
      </c>
      <c r="D285">
        <v>4</v>
      </c>
      <c r="E285">
        <v>0.18062500000000001</v>
      </c>
      <c r="F285">
        <v>92.25</v>
      </c>
      <c r="G285">
        <v>73.75</v>
      </c>
      <c r="H285">
        <v>0.79945799457994582</v>
      </c>
      <c r="I285">
        <v>67.796599999999998</v>
      </c>
      <c r="J285">
        <v>32.203400000000002</v>
      </c>
      <c r="K285">
        <v>88.571399999999997</v>
      </c>
      <c r="L285">
        <v>88</v>
      </c>
      <c r="M285">
        <v>100</v>
      </c>
      <c r="N285">
        <v>774.37081000000001</v>
      </c>
      <c r="O285">
        <v>208.1</v>
      </c>
      <c r="P285">
        <v>566</v>
      </c>
      <c r="Q285">
        <v>0.27081</v>
      </c>
      <c r="R285">
        <v>156.96252200000001</v>
      </c>
      <c r="S285">
        <v>100</v>
      </c>
      <c r="T285">
        <v>0.95</v>
      </c>
      <c r="U285" t="s">
        <v>18</v>
      </c>
    </row>
    <row r="286" spans="1:21" hidden="1" x14ac:dyDescent="0.25">
      <c r="A286" t="s">
        <v>34</v>
      </c>
      <c r="B286">
        <v>400</v>
      </c>
      <c r="C286">
        <v>105</v>
      </c>
      <c r="D286">
        <v>4</v>
      </c>
      <c r="E286">
        <v>0.177089</v>
      </c>
      <c r="F286">
        <v>92.25</v>
      </c>
      <c r="G286">
        <v>73.75</v>
      </c>
      <c r="H286">
        <v>0.79945799457994582</v>
      </c>
      <c r="I286">
        <v>66.779700000000005</v>
      </c>
      <c r="J286">
        <v>33.220300000000002</v>
      </c>
      <c r="K286">
        <v>87.619</v>
      </c>
      <c r="L286">
        <v>87</v>
      </c>
      <c r="M286">
        <v>100</v>
      </c>
      <c r="N286">
        <v>774.56996000000004</v>
      </c>
      <c r="O286">
        <v>208.1</v>
      </c>
      <c r="P286">
        <v>566.20000000000005</v>
      </c>
      <c r="Q286">
        <v>0.26995999999999998</v>
      </c>
      <c r="R286">
        <v>157.97965099999999</v>
      </c>
      <c r="S286">
        <v>100</v>
      </c>
      <c r="T286">
        <v>0.95</v>
      </c>
      <c r="U286" t="s">
        <v>18</v>
      </c>
    </row>
    <row r="287" spans="1:21" hidden="1" x14ac:dyDescent="0.25">
      <c r="A287" t="s">
        <v>34</v>
      </c>
      <c r="B287">
        <v>400</v>
      </c>
      <c r="C287">
        <v>105</v>
      </c>
      <c r="D287">
        <v>4</v>
      </c>
      <c r="E287">
        <v>0.17714099999999999</v>
      </c>
      <c r="F287">
        <v>92.25</v>
      </c>
      <c r="G287">
        <v>73.75</v>
      </c>
      <c r="H287">
        <v>0.79945799457994582</v>
      </c>
      <c r="I287">
        <v>68.135599999999997</v>
      </c>
      <c r="J287">
        <v>31.8644</v>
      </c>
      <c r="K287">
        <v>88.571399999999997</v>
      </c>
      <c r="L287">
        <v>88</v>
      </c>
      <c r="M287">
        <v>100</v>
      </c>
      <c r="N287">
        <v>774.57056999999998</v>
      </c>
      <c r="O287">
        <v>208.1</v>
      </c>
      <c r="P287">
        <v>566.20000000000005</v>
      </c>
      <c r="Q287">
        <v>0.27056999999999998</v>
      </c>
      <c r="R287">
        <v>156.290211</v>
      </c>
      <c r="S287">
        <v>100</v>
      </c>
      <c r="T287">
        <v>0.95</v>
      </c>
      <c r="U287" t="s">
        <v>18</v>
      </c>
    </row>
    <row r="288" spans="1:21" hidden="1" x14ac:dyDescent="0.25">
      <c r="A288" t="s">
        <v>34</v>
      </c>
      <c r="B288">
        <v>400</v>
      </c>
      <c r="C288">
        <v>105</v>
      </c>
      <c r="D288">
        <v>4</v>
      </c>
      <c r="E288">
        <v>0.17913599999999999</v>
      </c>
      <c r="F288">
        <v>92.25</v>
      </c>
      <c r="G288">
        <v>73.75</v>
      </c>
      <c r="H288">
        <v>0.79945799457994582</v>
      </c>
      <c r="I288">
        <v>68.474599999999995</v>
      </c>
      <c r="J288">
        <v>31.525400000000001</v>
      </c>
      <c r="K288">
        <v>87.619</v>
      </c>
      <c r="L288">
        <v>87</v>
      </c>
      <c r="M288">
        <v>100</v>
      </c>
      <c r="N288">
        <v>774.76959999999997</v>
      </c>
      <c r="O288">
        <v>208.1</v>
      </c>
      <c r="P288">
        <v>566.4</v>
      </c>
      <c r="Q288">
        <v>0.26960000000000001</v>
      </c>
      <c r="R288">
        <v>155.589484</v>
      </c>
      <c r="S288">
        <v>100</v>
      </c>
      <c r="T288">
        <v>0.95</v>
      </c>
      <c r="U288" t="s">
        <v>18</v>
      </c>
    </row>
    <row r="289" spans="1:21" hidden="1" x14ac:dyDescent="0.25">
      <c r="A289" t="s">
        <v>34</v>
      </c>
      <c r="B289">
        <v>400</v>
      </c>
      <c r="C289">
        <v>105</v>
      </c>
      <c r="D289">
        <v>4</v>
      </c>
      <c r="E289">
        <v>0.169296</v>
      </c>
      <c r="F289">
        <v>92.25</v>
      </c>
      <c r="G289">
        <v>73.75</v>
      </c>
      <c r="H289">
        <v>0.79945799457994582</v>
      </c>
      <c r="I289">
        <v>68.135599999999997</v>
      </c>
      <c r="J289">
        <v>31.8644</v>
      </c>
      <c r="K289">
        <v>85.714299999999994</v>
      </c>
      <c r="L289">
        <v>85</v>
      </c>
      <c r="M289">
        <v>100</v>
      </c>
      <c r="N289">
        <v>774.96789999999999</v>
      </c>
      <c r="O289">
        <v>208.1</v>
      </c>
      <c r="P289">
        <v>566.6</v>
      </c>
      <c r="Q289">
        <v>0.26790000000000003</v>
      </c>
      <c r="R289">
        <v>158.07116099999999</v>
      </c>
      <c r="S289">
        <v>100</v>
      </c>
      <c r="T289">
        <v>0.95</v>
      </c>
      <c r="U289" t="s">
        <v>18</v>
      </c>
    </row>
    <row r="290" spans="1:21" hidden="1" x14ac:dyDescent="0.25">
      <c r="A290" t="s">
        <v>34</v>
      </c>
      <c r="B290">
        <v>400</v>
      </c>
      <c r="C290">
        <v>105</v>
      </c>
      <c r="D290">
        <v>4</v>
      </c>
      <c r="E290">
        <v>0.166986</v>
      </c>
      <c r="F290">
        <v>92.25</v>
      </c>
      <c r="G290">
        <v>73.75</v>
      </c>
      <c r="H290">
        <v>0.79945799457994582</v>
      </c>
      <c r="I290">
        <v>68.813599999999994</v>
      </c>
      <c r="J290">
        <v>31.186399999999999</v>
      </c>
      <c r="K290">
        <v>90.476200000000006</v>
      </c>
      <c r="L290">
        <v>90</v>
      </c>
      <c r="M290">
        <v>100</v>
      </c>
      <c r="N290">
        <v>775.17263000000003</v>
      </c>
      <c r="O290">
        <v>208.1</v>
      </c>
      <c r="P290">
        <v>566.79999999999995</v>
      </c>
      <c r="Q290">
        <v>0.27262999999999998</v>
      </c>
      <c r="R290">
        <v>157.19703200000001</v>
      </c>
      <c r="S290">
        <v>100</v>
      </c>
      <c r="T290">
        <v>0.95</v>
      </c>
      <c r="U290" t="s">
        <v>18</v>
      </c>
    </row>
    <row r="291" spans="1:21" hidden="1" x14ac:dyDescent="0.25">
      <c r="A291" t="s">
        <v>34</v>
      </c>
      <c r="B291">
        <v>400</v>
      </c>
      <c r="C291">
        <v>105</v>
      </c>
      <c r="D291">
        <v>4</v>
      </c>
      <c r="E291">
        <v>0.17485600000000001</v>
      </c>
      <c r="F291">
        <v>92.25</v>
      </c>
      <c r="G291">
        <v>73.75</v>
      </c>
      <c r="H291">
        <v>0.79945799457994582</v>
      </c>
      <c r="I291">
        <v>67.796599999999998</v>
      </c>
      <c r="J291">
        <v>32.203400000000002</v>
      </c>
      <c r="K291">
        <v>86.666700000000006</v>
      </c>
      <c r="L291">
        <v>86</v>
      </c>
      <c r="M291">
        <v>100</v>
      </c>
      <c r="N291">
        <v>775.36857999999995</v>
      </c>
      <c r="O291">
        <v>208.1</v>
      </c>
      <c r="P291">
        <v>567</v>
      </c>
      <c r="Q291">
        <v>0.26857999999999999</v>
      </c>
      <c r="R291">
        <v>156.134162</v>
      </c>
      <c r="S291">
        <v>100</v>
      </c>
      <c r="T291">
        <v>0.95</v>
      </c>
      <c r="U291" t="s">
        <v>18</v>
      </c>
    </row>
    <row r="292" spans="1:21" hidden="1" x14ac:dyDescent="0.25">
      <c r="A292" t="s">
        <v>34</v>
      </c>
      <c r="B292">
        <v>400</v>
      </c>
      <c r="C292">
        <v>105</v>
      </c>
      <c r="D292">
        <v>4</v>
      </c>
      <c r="E292">
        <v>0.178371</v>
      </c>
      <c r="F292">
        <v>92.25</v>
      </c>
      <c r="G292">
        <v>73.5</v>
      </c>
      <c r="H292">
        <v>0.7967479674796748</v>
      </c>
      <c r="I292">
        <v>68.707499999999996</v>
      </c>
      <c r="J292">
        <v>31.2925</v>
      </c>
      <c r="K292">
        <v>86.666700000000006</v>
      </c>
      <c r="L292">
        <v>86</v>
      </c>
      <c r="M292">
        <v>100</v>
      </c>
      <c r="N292">
        <v>775.46875</v>
      </c>
      <c r="O292">
        <v>208.1</v>
      </c>
      <c r="P292">
        <v>567.1</v>
      </c>
      <c r="Q292">
        <v>0.26874999999999999</v>
      </c>
      <c r="R292">
        <v>157.01551499999999</v>
      </c>
      <c r="S292">
        <v>100</v>
      </c>
      <c r="T292">
        <v>0.95</v>
      </c>
      <c r="U292" t="s">
        <v>18</v>
      </c>
    </row>
    <row r="293" spans="1:21" hidden="1" x14ac:dyDescent="0.25">
      <c r="A293" t="s">
        <v>34</v>
      </c>
      <c r="B293">
        <v>400</v>
      </c>
      <c r="C293">
        <v>105</v>
      </c>
      <c r="D293">
        <v>4</v>
      </c>
      <c r="E293">
        <v>0.17825099999999999</v>
      </c>
      <c r="F293">
        <v>92.25</v>
      </c>
      <c r="G293">
        <v>73.5</v>
      </c>
      <c r="H293">
        <v>0.7967479674796748</v>
      </c>
      <c r="I293">
        <v>68.707499999999996</v>
      </c>
      <c r="J293">
        <v>31.2925</v>
      </c>
      <c r="K293">
        <v>86.666700000000006</v>
      </c>
      <c r="L293">
        <v>86</v>
      </c>
      <c r="M293">
        <v>100</v>
      </c>
      <c r="N293">
        <v>775.46875</v>
      </c>
      <c r="O293">
        <v>208.1</v>
      </c>
      <c r="P293">
        <v>567.1</v>
      </c>
      <c r="Q293">
        <v>0.26874999999999999</v>
      </c>
      <c r="R293">
        <v>157.49597499999999</v>
      </c>
      <c r="S293">
        <v>100</v>
      </c>
      <c r="T293">
        <v>0.95</v>
      </c>
      <c r="U293" t="s">
        <v>18</v>
      </c>
    </row>
    <row r="294" spans="1:21" hidden="1" x14ac:dyDescent="0.25">
      <c r="A294" t="s">
        <v>34</v>
      </c>
      <c r="B294">
        <v>400</v>
      </c>
      <c r="C294">
        <v>105</v>
      </c>
      <c r="D294">
        <v>4</v>
      </c>
      <c r="E294">
        <v>0.17585100000000001</v>
      </c>
      <c r="F294">
        <v>92.25</v>
      </c>
      <c r="G294">
        <v>73.5</v>
      </c>
      <c r="H294">
        <v>0.7967479674796748</v>
      </c>
      <c r="I294">
        <v>68.027199999999993</v>
      </c>
      <c r="J294">
        <v>31.972799999999999</v>
      </c>
      <c r="K294">
        <v>88.571399999999997</v>
      </c>
      <c r="L294">
        <v>88</v>
      </c>
      <c r="M294">
        <v>100</v>
      </c>
      <c r="N294">
        <v>775.47056999999995</v>
      </c>
      <c r="O294">
        <v>208.1</v>
      </c>
      <c r="P294">
        <v>567.1</v>
      </c>
      <c r="Q294">
        <v>0.27056999999999998</v>
      </c>
      <c r="R294">
        <v>156.49837199999999</v>
      </c>
      <c r="S294">
        <v>100</v>
      </c>
      <c r="T294">
        <v>0.95</v>
      </c>
      <c r="U294" t="s">
        <v>18</v>
      </c>
    </row>
    <row r="295" spans="1:21" hidden="1" x14ac:dyDescent="0.25">
      <c r="A295" t="s">
        <v>34</v>
      </c>
      <c r="B295">
        <v>400</v>
      </c>
      <c r="C295">
        <v>105</v>
      </c>
      <c r="D295">
        <v>4</v>
      </c>
      <c r="E295">
        <v>0.17302500000000001</v>
      </c>
      <c r="F295">
        <v>92.25</v>
      </c>
      <c r="G295">
        <v>73.75</v>
      </c>
      <c r="H295">
        <v>0.79945799457994582</v>
      </c>
      <c r="I295">
        <v>68.135599999999997</v>
      </c>
      <c r="J295">
        <v>31.8644</v>
      </c>
      <c r="K295">
        <v>85.714299999999994</v>
      </c>
      <c r="L295">
        <v>85</v>
      </c>
      <c r="M295">
        <v>100</v>
      </c>
      <c r="N295">
        <v>775.56772999999998</v>
      </c>
      <c r="O295">
        <v>208.1</v>
      </c>
      <c r="P295">
        <v>567.20000000000005</v>
      </c>
      <c r="Q295">
        <v>0.26773000000000002</v>
      </c>
      <c r="R295">
        <v>155.71247099999999</v>
      </c>
      <c r="S295">
        <v>100</v>
      </c>
      <c r="T295">
        <v>0.95</v>
      </c>
      <c r="U295" t="s">
        <v>18</v>
      </c>
    </row>
    <row r="296" spans="1:21" hidden="1" x14ac:dyDescent="0.25">
      <c r="A296" t="s">
        <v>34</v>
      </c>
      <c r="B296">
        <v>400</v>
      </c>
      <c r="C296">
        <v>105</v>
      </c>
      <c r="D296">
        <v>4</v>
      </c>
      <c r="E296">
        <v>0.17449300000000001</v>
      </c>
      <c r="F296">
        <v>92.25</v>
      </c>
      <c r="G296">
        <v>73.5</v>
      </c>
      <c r="H296">
        <v>0.7967479674796748</v>
      </c>
      <c r="I296">
        <v>67.346900000000005</v>
      </c>
      <c r="J296">
        <v>32.653100000000002</v>
      </c>
      <c r="K296">
        <v>87.619</v>
      </c>
      <c r="L296">
        <v>87</v>
      </c>
      <c r="M296">
        <v>100</v>
      </c>
      <c r="N296">
        <v>776.26959999999997</v>
      </c>
      <c r="O296">
        <v>208.1</v>
      </c>
      <c r="P296">
        <v>567.9</v>
      </c>
      <c r="Q296">
        <v>0.26960000000000001</v>
      </c>
      <c r="R296">
        <v>157.776488</v>
      </c>
      <c r="S296">
        <v>100</v>
      </c>
      <c r="T296">
        <v>0.95</v>
      </c>
      <c r="U296" t="s">
        <v>18</v>
      </c>
    </row>
    <row r="297" spans="1:21" hidden="1" x14ac:dyDescent="0.25">
      <c r="A297" t="s">
        <v>34</v>
      </c>
      <c r="B297">
        <v>400</v>
      </c>
      <c r="C297">
        <v>105</v>
      </c>
      <c r="D297">
        <v>4</v>
      </c>
      <c r="E297">
        <v>0.17208399999999999</v>
      </c>
      <c r="F297">
        <v>92.25</v>
      </c>
      <c r="G297">
        <v>73.75</v>
      </c>
      <c r="H297">
        <v>0.79945799457994582</v>
      </c>
      <c r="I297">
        <v>68.813599999999994</v>
      </c>
      <c r="J297">
        <v>31.186399999999999</v>
      </c>
      <c r="K297">
        <v>87.619</v>
      </c>
      <c r="L297">
        <v>87</v>
      </c>
      <c r="M297">
        <v>100</v>
      </c>
      <c r="N297">
        <v>776.96972000000005</v>
      </c>
      <c r="O297">
        <v>208.1</v>
      </c>
      <c r="P297">
        <v>568.6</v>
      </c>
      <c r="Q297">
        <v>0.26972000000000002</v>
      </c>
      <c r="R297">
        <v>155.513542</v>
      </c>
      <c r="S297">
        <v>100</v>
      </c>
      <c r="T297">
        <v>0.95</v>
      </c>
      <c r="U297" t="s">
        <v>18</v>
      </c>
    </row>
    <row r="298" spans="1:21" hidden="1" x14ac:dyDescent="0.25">
      <c r="A298" t="s">
        <v>34</v>
      </c>
      <c r="B298">
        <v>400</v>
      </c>
      <c r="C298">
        <v>105</v>
      </c>
      <c r="D298">
        <v>4</v>
      </c>
      <c r="E298">
        <v>0.17269300000000001</v>
      </c>
      <c r="F298">
        <v>92.25</v>
      </c>
      <c r="G298">
        <v>73.5</v>
      </c>
      <c r="H298">
        <v>0.7967479674796748</v>
      </c>
      <c r="I298">
        <v>68.027199999999993</v>
      </c>
      <c r="J298">
        <v>31.972799999999999</v>
      </c>
      <c r="K298">
        <v>87.619</v>
      </c>
      <c r="L298">
        <v>87</v>
      </c>
      <c r="M298">
        <v>100</v>
      </c>
      <c r="N298">
        <v>777.26972000000001</v>
      </c>
      <c r="O298">
        <v>208.1</v>
      </c>
      <c r="P298">
        <v>568.9</v>
      </c>
      <c r="Q298">
        <v>0.26972000000000002</v>
      </c>
      <c r="R298">
        <v>157.10311999999999</v>
      </c>
      <c r="S298">
        <v>100</v>
      </c>
      <c r="T298">
        <v>0.95</v>
      </c>
      <c r="U298" t="s">
        <v>18</v>
      </c>
    </row>
    <row r="299" spans="1:21" hidden="1" x14ac:dyDescent="0.25">
      <c r="A299" t="s">
        <v>34</v>
      </c>
      <c r="B299">
        <v>400</v>
      </c>
      <c r="C299">
        <v>105</v>
      </c>
      <c r="D299">
        <v>4</v>
      </c>
      <c r="E299">
        <v>0.17719399999999999</v>
      </c>
      <c r="F299">
        <v>92.25</v>
      </c>
      <c r="G299">
        <v>73.5</v>
      </c>
      <c r="H299">
        <v>0.7967479674796748</v>
      </c>
      <c r="I299">
        <v>67.346900000000005</v>
      </c>
      <c r="J299">
        <v>32.653100000000002</v>
      </c>
      <c r="K299">
        <v>88.571399999999997</v>
      </c>
      <c r="L299">
        <v>88</v>
      </c>
      <c r="M299">
        <v>100</v>
      </c>
      <c r="N299">
        <v>777.87045000000001</v>
      </c>
      <c r="O299">
        <v>208.1</v>
      </c>
      <c r="P299">
        <v>569.5</v>
      </c>
      <c r="Q299">
        <v>0.27045000000000002</v>
      </c>
      <c r="R299">
        <v>157.716239</v>
      </c>
      <c r="S299">
        <v>100</v>
      </c>
      <c r="T299">
        <v>0.95</v>
      </c>
      <c r="U299" t="s">
        <v>18</v>
      </c>
    </row>
    <row r="300" spans="1:21" hidden="1" x14ac:dyDescent="0.25">
      <c r="A300" t="s">
        <v>34</v>
      </c>
      <c r="B300">
        <v>400</v>
      </c>
      <c r="C300">
        <v>105</v>
      </c>
      <c r="D300">
        <v>4</v>
      </c>
      <c r="E300">
        <v>0.17469999999999999</v>
      </c>
      <c r="F300">
        <v>92.25</v>
      </c>
      <c r="G300">
        <v>73.5</v>
      </c>
      <c r="H300">
        <v>0.7967479674796748</v>
      </c>
      <c r="I300">
        <v>68.3673</v>
      </c>
      <c r="J300">
        <v>31.6327</v>
      </c>
      <c r="K300">
        <v>87.619</v>
      </c>
      <c r="L300">
        <v>87</v>
      </c>
      <c r="M300">
        <v>100</v>
      </c>
      <c r="N300">
        <v>778.46996000000001</v>
      </c>
      <c r="O300">
        <v>208.1</v>
      </c>
      <c r="P300">
        <v>570.1</v>
      </c>
      <c r="Q300">
        <v>0.26995999999999998</v>
      </c>
      <c r="R300">
        <v>156.24743699999999</v>
      </c>
      <c r="S300">
        <v>100</v>
      </c>
      <c r="T300">
        <v>0.95</v>
      </c>
      <c r="U300" t="s">
        <v>18</v>
      </c>
    </row>
    <row r="301" spans="1:21" hidden="1" x14ac:dyDescent="0.25">
      <c r="A301" t="s">
        <v>34</v>
      </c>
      <c r="B301">
        <v>400</v>
      </c>
      <c r="C301">
        <v>105</v>
      </c>
      <c r="D301">
        <v>4</v>
      </c>
      <c r="E301">
        <v>0.171152</v>
      </c>
      <c r="F301">
        <v>92.25</v>
      </c>
      <c r="G301">
        <v>73.5</v>
      </c>
      <c r="H301">
        <v>0.7967479674796748</v>
      </c>
      <c r="I301">
        <v>67.346900000000005</v>
      </c>
      <c r="J301">
        <v>32.653100000000002</v>
      </c>
      <c r="K301">
        <v>86.666700000000006</v>
      </c>
      <c r="L301">
        <v>86</v>
      </c>
      <c r="M301">
        <v>100</v>
      </c>
      <c r="N301">
        <v>778.66911000000005</v>
      </c>
      <c r="O301">
        <v>208.1</v>
      </c>
      <c r="P301">
        <v>570.29999999999995</v>
      </c>
      <c r="Q301">
        <v>0.26911000000000002</v>
      </c>
      <c r="R301">
        <v>159.96315799999999</v>
      </c>
      <c r="S301">
        <v>100</v>
      </c>
      <c r="T301">
        <v>0.95</v>
      </c>
      <c r="U301" t="s">
        <v>18</v>
      </c>
    </row>
    <row r="302" spans="1:21" hidden="1" x14ac:dyDescent="0.25">
      <c r="A302" t="s">
        <v>34</v>
      </c>
      <c r="B302">
        <v>400</v>
      </c>
      <c r="C302">
        <v>105</v>
      </c>
      <c r="D302">
        <v>4</v>
      </c>
      <c r="E302">
        <v>0.17868800000000001</v>
      </c>
      <c r="F302">
        <v>92.25</v>
      </c>
      <c r="G302">
        <v>73.5</v>
      </c>
      <c r="H302">
        <v>0.7967479674796748</v>
      </c>
      <c r="I302">
        <v>67.346900000000005</v>
      </c>
      <c r="J302">
        <v>32.653100000000002</v>
      </c>
      <c r="K302">
        <v>81.904799999999994</v>
      </c>
      <c r="L302">
        <v>81</v>
      </c>
      <c r="M302">
        <v>100</v>
      </c>
      <c r="N302">
        <v>779.06449999999995</v>
      </c>
      <c r="O302">
        <v>208.1</v>
      </c>
      <c r="P302">
        <v>570.70000000000005</v>
      </c>
      <c r="Q302">
        <v>0.26450000000000001</v>
      </c>
      <c r="R302">
        <v>157.584022</v>
      </c>
      <c r="S302">
        <v>100</v>
      </c>
      <c r="T302">
        <v>0.95</v>
      </c>
      <c r="U302" t="s">
        <v>18</v>
      </c>
    </row>
    <row r="303" spans="1:21" hidden="1" x14ac:dyDescent="0.25">
      <c r="A303" t="s">
        <v>34</v>
      </c>
      <c r="B303">
        <v>400</v>
      </c>
      <c r="C303">
        <v>105</v>
      </c>
      <c r="D303">
        <v>4</v>
      </c>
      <c r="E303">
        <v>0.18115899999999999</v>
      </c>
      <c r="F303">
        <v>92.25</v>
      </c>
      <c r="G303">
        <v>73.5</v>
      </c>
      <c r="H303">
        <v>0.7967479674796748</v>
      </c>
      <c r="I303">
        <v>67.346900000000005</v>
      </c>
      <c r="J303">
        <v>32.653100000000002</v>
      </c>
      <c r="K303">
        <v>86.666700000000006</v>
      </c>
      <c r="L303">
        <v>86</v>
      </c>
      <c r="M303">
        <v>100</v>
      </c>
      <c r="N303">
        <v>779.06875000000002</v>
      </c>
      <c r="O303">
        <v>208.1</v>
      </c>
      <c r="P303">
        <v>570.70000000000005</v>
      </c>
      <c r="Q303">
        <v>0.26874999999999999</v>
      </c>
      <c r="R303">
        <v>157.95780400000001</v>
      </c>
      <c r="S303">
        <v>100</v>
      </c>
      <c r="T303">
        <v>0.95</v>
      </c>
      <c r="U303" t="s">
        <v>18</v>
      </c>
    </row>
    <row r="304" spans="1:21" hidden="1" x14ac:dyDescent="0.25">
      <c r="A304" t="s">
        <v>34</v>
      </c>
      <c r="B304">
        <v>400</v>
      </c>
      <c r="C304">
        <v>105</v>
      </c>
      <c r="D304">
        <v>4</v>
      </c>
      <c r="E304">
        <v>0.178813</v>
      </c>
      <c r="F304">
        <v>92.25</v>
      </c>
      <c r="G304">
        <v>73.5</v>
      </c>
      <c r="H304">
        <v>0.7967479674796748</v>
      </c>
      <c r="I304">
        <v>67.346900000000005</v>
      </c>
      <c r="J304">
        <v>32.653100000000002</v>
      </c>
      <c r="K304">
        <v>83.8095</v>
      </c>
      <c r="L304">
        <v>83</v>
      </c>
      <c r="M304">
        <v>100</v>
      </c>
      <c r="N304">
        <v>779.46619999999996</v>
      </c>
      <c r="O304">
        <v>208.1</v>
      </c>
      <c r="P304">
        <v>571.1</v>
      </c>
      <c r="Q304">
        <v>0.26619999999999999</v>
      </c>
      <c r="R304">
        <v>157.324186</v>
      </c>
      <c r="S304">
        <v>100</v>
      </c>
      <c r="T304">
        <v>0.95</v>
      </c>
      <c r="U304" t="s">
        <v>18</v>
      </c>
    </row>
    <row r="305" spans="1:21" hidden="1" x14ac:dyDescent="0.25">
      <c r="A305" t="s">
        <v>34</v>
      </c>
      <c r="B305">
        <v>400</v>
      </c>
      <c r="C305">
        <v>105</v>
      </c>
      <c r="D305">
        <v>4</v>
      </c>
      <c r="E305">
        <v>0.17232</v>
      </c>
      <c r="F305">
        <v>92.25</v>
      </c>
      <c r="G305">
        <v>73.5</v>
      </c>
      <c r="H305">
        <v>0.7967479674796748</v>
      </c>
      <c r="I305">
        <v>67.006799999999998</v>
      </c>
      <c r="J305">
        <v>32.993200000000002</v>
      </c>
      <c r="K305">
        <v>87.619</v>
      </c>
      <c r="L305">
        <v>87</v>
      </c>
      <c r="M305">
        <v>100</v>
      </c>
      <c r="N305">
        <v>779.66995999999995</v>
      </c>
      <c r="O305">
        <v>208.1</v>
      </c>
      <c r="P305">
        <v>571.29999999999995</v>
      </c>
      <c r="Q305">
        <v>0.26995999999999998</v>
      </c>
      <c r="R305">
        <v>157.46299500000001</v>
      </c>
      <c r="S305">
        <v>100</v>
      </c>
      <c r="T305">
        <v>0.95</v>
      </c>
      <c r="U305" t="s">
        <v>18</v>
      </c>
    </row>
    <row r="306" spans="1:21" hidden="1" x14ac:dyDescent="0.25">
      <c r="A306" t="s">
        <v>34</v>
      </c>
      <c r="B306">
        <v>400</v>
      </c>
      <c r="C306">
        <v>105</v>
      </c>
      <c r="D306">
        <v>4</v>
      </c>
      <c r="E306">
        <v>0.17508099999999999</v>
      </c>
      <c r="F306">
        <v>92.25</v>
      </c>
      <c r="G306">
        <v>73.5</v>
      </c>
      <c r="H306">
        <v>0.7967479674796748</v>
      </c>
      <c r="I306">
        <v>67.346900000000005</v>
      </c>
      <c r="J306">
        <v>32.653100000000002</v>
      </c>
      <c r="K306">
        <v>88.571399999999997</v>
      </c>
      <c r="L306">
        <v>88</v>
      </c>
      <c r="M306">
        <v>100</v>
      </c>
      <c r="N306">
        <v>779.87081000000001</v>
      </c>
      <c r="O306">
        <v>208.1</v>
      </c>
      <c r="P306">
        <v>571.5</v>
      </c>
      <c r="Q306">
        <v>0.27081</v>
      </c>
      <c r="R306">
        <v>157.17647500000001</v>
      </c>
      <c r="S306">
        <v>100</v>
      </c>
      <c r="T306">
        <v>0.95</v>
      </c>
      <c r="U306" t="s">
        <v>18</v>
      </c>
    </row>
    <row r="307" spans="1:21" hidden="1" x14ac:dyDescent="0.25">
      <c r="A307" t="s">
        <v>34</v>
      </c>
      <c r="B307">
        <v>400</v>
      </c>
      <c r="C307">
        <v>105</v>
      </c>
      <c r="D307">
        <v>4</v>
      </c>
      <c r="E307">
        <v>0.174486</v>
      </c>
      <c r="F307">
        <v>92.25</v>
      </c>
      <c r="G307">
        <v>73.5</v>
      </c>
      <c r="H307">
        <v>0.7967479674796748</v>
      </c>
      <c r="I307">
        <v>68.027199999999993</v>
      </c>
      <c r="J307">
        <v>31.972799999999999</v>
      </c>
      <c r="K307">
        <v>85.714299999999994</v>
      </c>
      <c r="L307">
        <v>85</v>
      </c>
      <c r="M307">
        <v>100</v>
      </c>
      <c r="N307">
        <v>780.26790000000005</v>
      </c>
      <c r="O307">
        <v>208.1</v>
      </c>
      <c r="P307">
        <v>571.9</v>
      </c>
      <c r="Q307">
        <v>0.26790000000000003</v>
      </c>
      <c r="R307">
        <v>155.48499200000001</v>
      </c>
      <c r="S307">
        <v>100</v>
      </c>
      <c r="T307">
        <v>0.95</v>
      </c>
      <c r="U307" t="s">
        <v>18</v>
      </c>
    </row>
    <row r="308" spans="1:21" hidden="1" x14ac:dyDescent="0.25">
      <c r="A308" t="s">
        <v>34</v>
      </c>
      <c r="B308">
        <v>400</v>
      </c>
      <c r="C308">
        <v>105</v>
      </c>
      <c r="D308">
        <v>4</v>
      </c>
      <c r="E308">
        <v>0.173711</v>
      </c>
      <c r="F308">
        <v>92.25</v>
      </c>
      <c r="G308">
        <v>73.5</v>
      </c>
      <c r="H308">
        <v>0.7967479674796748</v>
      </c>
      <c r="I308">
        <v>67.346900000000005</v>
      </c>
      <c r="J308">
        <v>32.653100000000002</v>
      </c>
      <c r="K308">
        <v>89.523799999999994</v>
      </c>
      <c r="L308">
        <v>89</v>
      </c>
      <c r="M308">
        <v>100</v>
      </c>
      <c r="N308">
        <v>780.27166</v>
      </c>
      <c r="O308">
        <v>208.1</v>
      </c>
      <c r="P308">
        <v>571.9</v>
      </c>
      <c r="Q308">
        <v>0.27166000000000001</v>
      </c>
      <c r="R308">
        <v>158.44299699999999</v>
      </c>
      <c r="S308">
        <v>100</v>
      </c>
      <c r="T308">
        <v>0.95</v>
      </c>
      <c r="U308" t="s">
        <v>18</v>
      </c>
    </row>
    <row r="309" spans="1:21" hidden="1" x14ac:dyDescent="0.25">
      <c r="A309" t="s">
        <v>34</v>
      </c>
      <c r="B309">
        <v>400</v>
      </c>
      <c r="C309">
        <v>105</v>
      </c>
      <c r="D309">
        <v>4</v>
      </c>
      <c r="E309">
        <v>0.177535</v>
      </c>
      <c r="F309">
        <v>92.25</v>
      </c>
      <c r="G309">
        <v>73.5</v>
      </c>
      <c r="H309">
        <v>0.7967479674796748</v>
      </c>
      <c r="I309">
        <v>67.687100000000001</v>
      </c>
      <c r="J309">
        <v>32.312899999999999</v>
      </c>
      <c r="K309">
        <v>86.666700000000006</v>
      </c>
      <c r="L309">
        <v>86</v>
      </c>
      <c r="M309">
        <v>100</v>
      </c>
      <c r="N309">
        <v>780.46898999999996</v>
      </c>
      <c r="O309">
        <v>208.1</v>
      </c>
      <c r="P309">
        <v>572.1</v>
      </c>
      <c r="Q309">
        <v>0.26899000000000001</v>
      </c>
      <c r="R309">
        <v>157.75757300000001</v>
      </c>
      <c r="S309">
        <v>100</v>
      </c>
      <c r="T309">
        <v>0.95</v>
      </c>
      <c r="U309" t="s">
        <v>18</v>
      </c>
    </row>
    <row r="310" spans="1:21" hidden="1" x14ac:dyDescent="0.25">
      <c r="A310" t="s">
        <v>34</v>
      </c>
      <c r="B310">
        <v>400</v>
      </c>
      <c r="C310">
        <v>105</v>
      </c>
      <c r="D310">
        <v>4</v>
      </c>
      <c r="E310">
        <v>0.17335</v>
      </c>
      <c r="F310">
        <v>92.25</v>
      </c>
      <c r="G310">
        <v>73.5</v>
      </c>
      <c r="H310">
        <v>0.7967479674796748</v>
      </c>
      <c r="I310">
        <v>68.707499999999996</v>
      </c>
      <c r="J310">
        <v>31.2925</v>
      </c>
      <c r="K310">
        <v>89.523799999999994</v>
      </c>
      <c r="L310">
        <v>89</v>
      </c>
      <c r="M310">
        <v>100</v>
      </c>
      <c r="N310">
        <v>780.67165999999997</v>
      </c>
      <c r="O310">
        <v>208.1</v>
      </c>
      <c r="P310">
        <v>572.29999999999995</v>
      </c>
      <c r="Q310">
        <v>0.27166000000000001</v>
      </c>
      <c r="R310">
        <v>156.94198499999999</v>
      </c>
      <c r="S310">
        <v>100</v>
      </c>
      <c r="T310">
        <v>0.95</v>
      </c>
      <c r="U310" t="s">
        <v>18</v>
      </c>
    </row>
    <row r="311" spans="1:21" hidden="1" x14ac:dyDescent="0.25">
      <c r="A311" t="s">
        <v>34</v>
      </c>
      <c r="B311">
        <v>400</v>
      </c>
      <c r="C311">
        <v>105</v>
      </c>
      <c r="D311">
        <v>4</v>
      </c>
      <c r="E311">
        <v>0.17422599999999999</v>
      </c>
      <c r="F311">
        <v>92.25</v>
      </c>
      <c r="G311">
        <v>73.5</v>
      </c>
      <c r="H311">
        <v>0.7967479674796748</v>
      </c>
      <c r="I311">
        <v>68.027199999999993</v>
      </c>
      <c r="J311">
        <v>31.972799999999999</v>
      </c>
      <c r="K311">
        <v>85.714299999999994</v>
      </c>
      <c r="L311">
        <v>85</v>
      </c>
      <c r="M311">
        <v>100</v>
      </c>
      <c r="N311">
        <v>781.26790000000005</v>
      </c>
      <c r="O311">
        <v>208.1</v>
      </c>
      <c r="P311">
        <v>572.9</v>
      </c>
      <c r="Q311">
        <v>0.26790000000000003</v>
      </c>
      <c r="R311">
        <v>156.997399</v>
      </c>
      <c r="S311">
        <v>100</v>
      </c>
      <c r="T311">
        <v>0.95</v>
      </c>
      <c r="U311" t="s">
        <v>18</v>
      </c>
    </row>
    <row r="312" spans="1:21" hidden="1" x14ac:dyDescent="0.25">
      <c r="A312" t="s">
        <v>34</v>
      </c>
      <c r="B312">
        <v>400</v>
      </c>
      <c r="C312">
        <v>105</v>
      </c>
      <c r="D312">
        <v>4</v>
      </c>
      <c r="E312">
        <v>0.174266</v>
      </c>
      <c r="F312">
        <v>92.25</v>
      </c>
      <c r="G312">
        <v>73.5</v>
      </c>
      <c r="H312">
        <v>0.7967479674796748</v>
      </c>
      <c r="I312">
        <v>67.346900000000005</v>
      </c>
      <c r="J312">
        <v>32.653100000000002</v>
      </c>
      <c r="K312">
        <v>85.714299999999994</v>
      </c>
      <c r="L312">
        <v>85</v>
      </c>
      <c r="M312">
        <v>100</v>
      </c>
      <c r="N312">
        <v>781.46802000000002</v>
      </c>
      <c r="O312">
        <v>208.1</v>
      </c>
      <c r="P312">
        <v>573.1</v>
      </c>
      <c r="Q312">
        <v>0.26801999999999998</v>
      </c>
      <c r="R312">
        <v>157.604658</v>
      </c>
      <c r="S312">
        <v>100</v>
      </c>
      <c r="T312">
        <v>0.95</v>
      </c>
      <c r="U312" t="s">
        <v>18</v>
      </c>
    </row>
    <row r="313" spans="1:21" hidden="1" x14ac:dyDescent="0.25">
      <c r="A313" t="s">
        <v>34</v>
      </c>
      <c r="B313">
        <v>400</v>
      </c>
      <c r="C313">
        <v>105</v>
      </c>
      <c r="D313">
        <v>4</v>
      </c>
      <c r="E313">
        <v>0.17405499999999999</v>
      </c>
      <c r="F313">
        <v>92.25</v>
      </c>
      <c r="G313">
        <v>73.5</v>
      </c>
      <c r="H313">
        <v>0.7967479674796748</v>
      </c>
      <c r="I313">
        <v>68.027199999999993</v>
      </c>
      <c r="J313">
        <v>31.972799999999999</v>
      </c>
      <c r="K313">
        <v>87.619</v>
      </c>
      <c r="L313">
        <v>87</v>
      </c>
      <c r="M313">
        <v>100</v>
      </c>
      <c r="N313">
        <v>781.46972000000005</v>
      </c>
      <c r="O313">
        <v>208.1</v>
      </c>
      <c r="P313">
        <v>573.1</v>
      </c>
      <c r="Q313">
        <v>0.26972000000000002</v>
      </c>
      <c r="R313">
        <v>157.00723199999999</v>
      </c>
      <c r="S313">
        <v>100</v>
      </c>
      <c r="T313">
        <v>0.95</v>
      </c>
      <c r="U313" t="s">
        <v>18</v>
      </c>
    </row>
    <row r="314" spans="1:21" hidden="1" x14ac:dyDescent="0.25">
      <c r="A314" t="s">
        <v>34</v>
      </c>
      <c r="B314">
        <v>400</v>
      </c>
      <c r="C314">
        <v>105</v>
      </c>
      <c r="D314">
        <v>4</v>
      </c>
      <c r="E314">
        <v>0.17249800000000001</v>
      </c>
      <c r="F314">
        <v>92.25</v>
      </c>
      <c r="G314">
        <v>73.5</v>
      </c>
      <c r="H314">
        <v>0.7967479674796748</v>
      </c>
      <c r="I314">
        <v>68.027199999999993</v>
      </c>
      <c r="J314">
        <v>31.972799999999999</v>
      </c>
      <c r="K314">
        <v>90.476200000000006</v>
      </c>
      <c r="L314">
        <v>90</v>
      </c>
      <c r="M314">
        <v>100</v>
      </c>
      <c r="N314">
        <v>781.47262999999998</v>
      </c>
      <c r="O314">
        <v>208.1</v>
      </c>
      <c r="P314">
        <v>573.1</v>
      </c>
      <c r="Q314">
        <v>0.27262999999999998</v>
      </c>
      <c r="R314">
        <v>157.159481</v>
      </c>
      <c r="S314">
        <v>100</v>
      </c>
      <c r="T314">
        <v>0.95</v>
      </c>
      <c r="U314" t="s">
        <v>18</v>
      </c>
    </row>
    <row r="315" spans="1:21" hidden="1" x14ac:dyDescent="0.25">
      <c r="A315" t="s">
        <v>34</v>
      </c>
      <c r="B315">
        <v>400</v>
      </c>
      <c r="C315">
        <v>105</v>
      </c>
      <c r="D315">
        <v>4</v>
      </c>
      <c r="E315">
        <v>0.17546200000000001</v>
      </c>
      <c r="F315">
        <v>92.25</v>
      </c>
      <c r="G315">
        <v>73.5</v>
      </c>
      <c r="H315">
        <v>0.7967479674796748</v>
      </c>
      <c r="I315">
        <v>68.3673</v>
      </c>
      <c r="J315">
        <v>31.6327</v>
      </c>
      <c r="K315">
        <v>86.666700000000006</v>
      </c>
      <c r="L315">
        <v>86</v>
      </c>
      <c r="M315">
        <v>100</v>
      </c>
      <c r="N315">
        <v>781.66886999999997</v>
      </c>
      <c r="O315">
        <v>208.1</v>
      </c>
      <c r="P315">
        <v>573.29999999999995</v>
      </c>
      <c r="Q315">
        <v>0.26887</v>
      </c>
      <c r="R315">
        <v>156.52604600000001</v>
      </c>
      <c r="S315">
        <v>100</v>
      </c>
      <c r="T315">
        <v>0.95</v>
      </c>
      <c r="U315" t="s">
        <v>18</v>
      </c>
    </row>
    <row r="316" spans="1:21" hidden="1" x14ac:dyDescent="0.25">
      <c r="A316" t="s">
        <v>34</v>
      </c>
      <c r="B316">
        <v>400</v>
      </c>
      <c r="C316">
        <v>105</v>
      </c>
      <c r="D316">
        <v>4</v>
      </c>
      <c r="E316">
        <v>0.17083899999999999</v>
      </c>
      <c r="F316">
        <v>92.25</v>
      </c>
      <c r="G316">
        <v>73.5</v>
      </c>
      <c r="H316">
        <v>0.7967479674796748</v>
      </c>
      <c r="I316">
        <v>67.346900000000005</v>
      </c>
      <c r="J316">
        <v>32.653100000000002</v>
      </c>
      <c r="K316">
        <v>87.619</v>
      </c>
      <c r="L316">
        <v>87</v>
      </c>
      <c r="M316">
        <v>100</v>
      </c>
      <c r="N316">
        <v>781.66971999999998</v>
      </c>
      <c r="O316">
        <v>208.1</v>
      </c>
      <c r="P316">
        <v>573.29999999999995</v>
      </c>
      <c r="Q316">
        <v>0.26972000000000002</v>
      </c>
      <c r="R316">
        <v>157.591521</v>
      </c>
      <c r="S316">
        <v>100</v>
      </c>
      <c r="T316">
        <v>0.95</v>
      </c>
      <c r="U316" t="s">
        <v>18</v>
      </c>
    </row>
    <row r="317" spans="1:21" hidden="1" x14ac:dyDescent="0.25">
      <c r="A317" t="s">
        <v>34</v>
      </c>
      <c r="B317">
        <v>400</v>
      </c>
      <c r="C317">
        <v>105</v>
      </c>
      <c r="D317">
        <v>4</v>
      </c>
      <c r="E317">
        <v>0.175986</v>
      </c>
      <c r="F317">
        <v>92.25</v>
      </c>
      <c r="G317">
        <v>73.5</v>
      </c>
      <c r="H317">
        <v>0.7967479674796748</v>
      </c>
      <c r="I317">
        <v>67.687100000000001</v>
      </c>
      <c r="J317">
        <v>32.312899999999999</v>
      </c>
      <c r="K317">
        <v>85.714299999999994</v>
      </c>
      <c r="L317">
        <v>85</v>
      </c>
      <c r="M317">
        <v>100</v>
      </c>
      <c r="N317">
        <v>782.06790000000001</v>
      </c>
      <c r="O317">
        <v>208.1</v>
      </c>
      <c r="P317">
        <v>573.70000000000005</v>
      </c>
      <c r="Q317">
        <v>0.26790000000000003</v>
      </c>
      <c r="R317">
        <v>156.32525699999999</v>
      </c>
      <c r="S317">
        <v>100</v>
      </c>
      <c r="T317">
        <v>0.95</v>
      </c>
      <c r="U317" t="s">
        <v>18</v>
      </c>
    </row>
    <row r="318" spans="1:21" hidden="1" x14ac:dyDescent="0.25">
      <c r="A318" t="s">
        <v>34</v>
      </c>
      <c r="B318">
        <v>400</v>
      </c>
      <c r="C318">
        <v>105</v>
      </c>
      <c r="D318">
        <v>4</v>
      </c>
      <c r="E318">
        <v>0.173989</v>
      </c>
      <c r="F318">
        <v>92.25</v>
      </c>
      <c r="G318">
        <v>73.5</v>
      </c>
      <c r="H318">
        <v>0.7967479674796748</v>
      </c>
      <c r="I318">
        <v>68.707499999999996</v>
      </c>
      <c r="J318">
        <v>31.2925</v>
      </c>
      <c r="K318">
        <v>86.666700000000006</v>
      </c>
      <c r="L318">
        <v>86</v>
      </c>
      <c r="M318">
        <v>100</v>
      </c>
      <c r="N318">
        <v>782.06875000000002</v>
      </c>
      <c r="O318">
        <v>208.1</v>
      </c>
      <c r="P318">
        <v>573.70000000000005</v>
      </c>
      <c r="Q318">
        <v>0.26874999999999999</v>
      </c>
      <c r="R318">
        <v>155.32847100000001</v>
      </c>
      <c r="S318">
        <v>100</v>
      </c>
      <c r="T318">
        <v>0.95</v>
      </c>
      <c r="U318" t="s">
        <v>18</v>
      </c>
    </row>
    <row r="319" spans="1:21" hidden="1" x14ac:dyDescent="0.25">
      <c r="A319" t="s">
        <v>34</v>
      </c>
      <c r="B319">
        <v>400</v>
      </c>
      <c r="C319">
        <v>105</v>
      </c>
      <c r="D319">
        <v>4</v>
      </c>
      <c r="E319">
        <v>0.174285</v>
      </c>
      <c r="F319">
        <v>92.25</v>
      </c>
      <c r="G319">
        <v>73.5</v>
      </c>
      <c r="H319">
        <v>0.7967479674796748</v>
      </c>
      <c r="I319">
        <v>67.687100000000001</v>
      </c>
      <c r="J319">
        <v>32.312899999999999</v>
      </c>
      <c r="K319">
        <v>86.666700000000006</v>
      </c>
      <c r="L319">
        <v>86</v>
      </c>
      <c r="M319">
        <v>100</v>
      </c>
      <c r="N319">
        <v>782.06911000000002</v>
      </c>
      <c r="O319">
        <v>208.1</v>
      </c>
      <c r="P319">
        <v>573.70000000000005</v>
      </c>
      <c r="Q319">
        <v>0.26911000000000002</v>
      </c>
      <c r="R319">
        <v>156.810742</v>
      </c>
      <c r="S319">
        <v>100</v>
      </c>
      <c r="T319">
        <v>0.95</v>
      </c>
      <c r="U319" t="s">
        <v>18</v>
      </c>
    </row>
    <row r="320" spans="1:21" hidden="1" x14ac:dyDescent="0.25">
      <c r="A320" t="s">
        <v>34</v>
      </c>
      <c r="B320">
        <v>400</v>
      </c>
      <c r="C320">
        <v>105</v>
      </c>
      <c r="D320">
        <v>4</v>
      </c>
      <c r="E320">
        <v>0.17771300000000001</v>
      </c>
      <c r="F320">
        <v>92.25</v>
      </c>
      <c r="G320">
        <v>73.5</v>
      </c>
      <c r="H320">
        <v>0.7967479674796748</v>
      </c>
      <c r="I320">
        <v>68.707499999999996</v>
      </c>
      <c r="J320">
        <v>31.2925</v>
      </c>
      <c r="K320">
        <v>86.666700000000006</v>
      </c>
      <c r="L320">
        <v>86</v>
      </c>
      <c r="M320">
        <v>100</v>
      </c>
      <c r="N320">
        <v>782.26869999999997</v>
      </c>
      <c r="O320">
        <v>208.1</v>
      </c>
      <c r="P320">
        <v>573.9</v>
      </c>
      <c r="Q320">
        <v>0.26869999999999999</v>
      </c>
      <c r="R320">
        <v>155.352101</v>
      </c>
      <c r="S320">
        <v>100</v>
      </c>
      <c r="T320">
        <v>0.95</v>
      </c>
      <c r="U320" t="s">
        <v>18</v>
      </c>
    </row>
    <row r="321" spans="1:21" hidden="1" x14ac:dyDescent="0.25">
      <c r="A321" t="s">
        <v>34</v>
      </c>
      <c r="B321">
        <v>400</v>
      </c>
      <c r="C321">
        <v>105</v>
      </c>
      <c r="D321">
        <v>4</v>
      </c>
      <c r="E321">
        <v>0.17349300000000001</v>
      </c>
      <c r="F321">
        <v>92.25</v>
      </c>
      <c r="G321">
        <v>73.5</v>
      </c>
      <c r="H321">
        <v>0.7967479674796748</v>
      </c>
      <c r="I321">
        <v>68.027199999999993</v>
      </c>
      <c r="J321">
        <v>31.972799999999999</v>
      </c>
      <c r="K321">
        <v>86.666700000000006</v>
      </c>
      <c r="L321">
        <v>86</v>
      </c>
      <c r="M321">
        <v>100</v>
      </c>
      <c r="N321">
        <v>782.46911</v>
      </c>
      <c r="O321">
        <v>208.1</v>
      </c>
      <c r="P321">
        <v>574.1</v>
      </c>
      <c r="Q321">
        <v>0.26911000000000002</v>
      </c>
      <c r="R321">
        <v>156.26307199999999</v>
      </c>
      <c r="S321">
        <v>100</v>
      </c>
      <c r="T321">
        <v>0.95</v>
      </c>
      <c r="U321" t="s">
        <v>18</v>
      </c>
    </row>
    <row r="322" spans="1:21" hidden="1" x14ac:dyDescent="0.25">
      <c r="A322" t="s">
        <v>34</v>
      </c>
      <c r="B322">
        <v>400</v>
      </c>
      <c r="C322">
        <v>105</v>
      </c>
      <c r="D322">
        <v>4</v>
      </c>
      <c r="E322">
        <v>0.17312</v>
      </c>
      <c r="F322">
        <v>92.25</v>
      </c>
      <c r="G322">
        <v>73.5</v>
      </c>
      <c r="H322">
        <v>0.7967479674796748</v>
      </c>
      <c r="I322">
        <v>68.707499999999996</v>
      </c>
      <c r="J322">
        <v>31.2925</v>
      </c>
      <c r="K322">
        <v>87.619</v>
      </c>
      <c r="L322">
        <v>87</v>
      </c>
      <c r="M322">
        <v>100</v>
      </c>
      <c r="N322">
        <v>782.86983999999995</v>
      </c>
      <c r="O322">
        <v>208.1</v>
      </c>
      <c r="P322">
        <v>574.5</v>
      </c>
      <c r="Q322">
        <v>0.26984000000000002</v>
      </c>
      <c r="R322">
        <v>155.27498</v>
      </c>
      <c r="S322">
        <v>100</v>
      </c>
      <c r="T322">
        <v>0.95</v>
      </c>
      <c r="U322" t="s">
        <v>18</v>
      </c>
    </row>
    <row r="323" spans="1:21" hidden="1" x14ac:dyDescent="0.25">
      <c r="A323" t="s">
        <v>34</v>
      </c>
      <c r="B323">
        <v>400</v>
      </c>
      <c r="C323">
        <v>105</v>
      </c>
      <c r="D323">
        <v>4</v>
      </c>
      <c r="E323">
        <v>0.17116700000000001</v>
      </c>
      <c r="F323">
        <v>92.25</v>
      </c>
      <c r="G323">
        <v>73.25</v>
      </c>
      <c r="H323">
        <v>0.79403794037940378</v>
      </c>
      <c r="I323">
        <v>67.235500000000002</v>
      </c>
      <c r="J323">
        <v>32.764499999999998</v>
      </c>
      <c r="K323">
        <v>85.714299999999994</v>
      </c>
      <c r="L323">
        <v>85</v>
      </c>
      <c r="M323">
        <v>100</v>
      </c>
      <c r="N323">
        <v>783.16790000000003</v>
      </c>
      <c r="O323">
        <v>208.1</v>
      </c>
      <c r="P323">
        <v>574.79999999999995</v>
      </c>
      <c r="Q323">
        <v>0.26790000000000003</v>
      </c>
      <c r="R323">
        <v>158.783672</v>
      </c>
      <c r="S323">
        <v>100</v>
      </c>
      <c r="T323">
        <v>0.95</v>
      </c>
      <c r="U323" t="s">
        <v>18</v>
      </c>
    </row>
    <row r="324" spans="1:21" hidden="1" x14ac:dyDescent="0.25">
      <c r="A324" t="s">
        <v>34</v>
      </c>
      <c r="B324">
        <v>400</v>
      </c>
      <c r="C324">
        <v>105</v>
      </c>
      <c r="D324">
        <v>4</v>
      </c>
      <c r="E324">
        <v>0.175039</v>
      </c>
      <c r="F324">
        <v>92.25</v>
      </c>
      <c r="G324">
        <v>73.5</v>
      </c>
      <c r="H324">
        <v>0.7967479674796748</v>
      </c>
      <c r="I324">
        <v>67.346900000000005</v>
      </c>
      <c r="J324">
        <v>32.653100000000002</v>
      </c>
      <c r="K324">
        <v>84.761899999999997</v>
      </c>
      <c r="L324">
        <v>84</v>
      </c>
      <c r="M324">
        <v>100</v>
      </c>
      <c r="N324">
        <v>783.66705000000002</v>
      </c>
      <c r="O324">
        <v>208.1</v>
      </c>
      <c r="P324">
        <v>575.29999999999995</v>
      </c>
      <c r="Q324">
        <v>0.26705000000000001</v>
      </c>
      <c r="R324">
        <v>155.83784499999999</v>
      </c>
      <c r="S324">
        <v>100</v>
      </c>
      <c r="T324">
        <v>0.95</v>
      </c>
      <c r="U324" t="s">
        <v>18</v>
      </c>
    </row>
    <row r="325" spans="1:21" hidden="1" x14ac:dyDescent="0.25">
      <c r="A325" t="s">
        <v>34</v>
      </c>
      <c r="B325">
        <v>400</v>
      </c>
      <c r="C325">
        <v>105</v>
      </c>
      <c r="D325">
        <v>4</v>
      </c>
      <c r="E325">
        <v>0.175321</v>
      </c>
      <c r="F325">
        <v>92.25</v>
      </c>
      <c r="G325">
        <v>73.5</v>
      </c>
      <c r="H325">
        <v>0.7967479674796748</v>
      </c>
      <c r="I325">
        <v>68.027199999999993</v>
      </c>
      <c r="J325">
        <v>31.972799999999999</v>
      </c>
      <c r="K325">
        <v>88.571399999999997</v>
      </c>
      <c r="L325">
        <v>88</v>
      </c>
      <c r="M325">
        <v>100</v>
      </c>
      <c r="N325">
        <v>784.07056999999998</v>
      </c>
      <c r="O325">
        <v>208.1</v>
      </c>
      <c r="P325">
        <v>575.70000000000005</v>
      </c>
      <c r="Q325">
        <v>0.27056999999999998</v>
      </c>
      <c r="R325">
        <v>157.252185</v>
      </c>
      <c r="S325">
        <v>100</v>
      </c>
      <c r="T325">
        <v>0.95</v>
      </c>
      <c r="U325" t="s">
        <v>18</v>
      </c>
    </row>
    <row r="326" spans="1:21" hidden="1" x14ac:dyDescent="0.25">
      <c r="A326" t="s">
        <v>34</v>
      </c>
      <c r="B326">
        <v>400</v>
      </c>
      <c r="C326">
        <v>105</v>
      </c>
      <c r="D326">
        <v>4</v>
      </c>
      <c r="E326">
        <v>0.170293</v>
      </c>
      <c r="F326">
        <v>92.25</v>
      </c>
      <c r="G326">
        <v>73.5</v>
      </c>
      <c r="H326">
        <v>0.7967479674796748</v>
      </c>
      <c r="I326">
        <v>68.3673</v>
      </c>
      <c r="J326">
        <v>31.6327</v>
      </c>
      <c r="K326">
        <v>85.714299999999994</v>
      </c>
      <c r="L326">
        <v>85</v>
      </c>
      <c r="M326">
        <v>100</v>
      </c>
      <c r="N326">
        <v>784.26826000000005</v>
      </c>
      <c r="O326">
        <v>208.1</v>
      </c>
      <c r="P326">
        <v>575.9</v>
      </c>
      <c r="Q326">
        <v>0.26826</v>
      </c>
      <c r="R326">
        <v>155.65018800000001</v>
      </c>
      <c r="S326">
        <v>100</v>
      </c>
      <c r="T326">
        <v>0.95</v>
      </c>
      <c r="U326" t="s">
        <v>18</v>
      </c>
    </row>
    <row r="327" spans="1:21" hidden="1" x14ac:dyDescent="0.25">
      <c r="A327" t="s">
        <v>34</v>
      </c>
      <c r="B327">
        <v>400</v>
      </c>
      <c r="C327">
        <v>105</v>
      </c>
      <c r="D327">
        <v>4</v>
      </c>
      <c r="E327">
        <v>0.177567</v>
      </c>
      <c r="F327">
        <v>92.25</v>
      </c>
      <c r="G327">
        <v>73.25</v>
      </c>
      <c r="H327">
        <v>0.79403794037940378</v>
      </c>
      <c r="I327">
        <v>67.576800000000006</v>
      </c>
      <c r="J327">
        <v>32.423200000000001</v>
      </c>
      <c r="K327">
        <v>85.714299999999994</v>
      </c>
      <c r="L327">
        <v>85</v>
      </c>
      <c r="M327">
        <v>100</v>
      </c>
      <c r="N327">
        <v>784.36789999999996</v>
      </c>
      <c r="O327">
        <v>208.1</v>
      </c>
      <c r="P327">
        <v>576</v>
      </c>
      <c r="Q327">
        <v>0.26790000000000003</v>
      </c>
      <c r="R327">
        <v>157.30224899999999</v>
      </c>
      <c r="S327">
        <v>100</v>
      </c>
      <c r="T327">
        <v>0.95</v>
      </c>
      <c r="U327" t="s">
        <v>18</v>
      </c>
    </row>
    <row r="328" spans="1:21" hidden="1" x14ac:dyDescent="0.25">
      <c r="A328" t="s">
        <v>34</v>
      </c>
      <c r="B328">
        <v>400</v>
      </c>
      <c r="C328">
        <v>105</v>
      </c>
      <c r="D328">
        <v>4</v>
      </c>
      <c r="E328">
        <v>0.17785300000000001</v>
      </c>
      <c r="F328">
        <v>92.25</v>
      </c>
      <c r="G328">
        <v>73.5</v>
      </c>
      <c r="H328">
        <v>0.7967479674796748</v>
      </c>
      <c r="I328">
        <v>67.346900000000005</v>
      </c>
      <c r="J328">
        <v>32.653100000000002</v>
      </c>
      <c r="K328">
        <v>88.571399999999997</v>
      </c>
      <c r="L328">
        <v>88</v>
      </c>
      <c r="M328">
        <v>100</v>
      </c>
      <c r="N328">
        <v>784.47081000000003</v>
      </c>
      <c r="O328">
        <v>208.1</v>
      </c>
      <c r="P328">
        <v>576.1</v>
      </c>
      <c r="Q328">
        <v>0.27081</v>
      </c>
      <c r="R328">
        <v>157.23155299999999</v>
      </c>
      <c r="S328">
        <v>100</v>
      </c>
      <c r="T328">
        <v>0.95</v>
      </c>
      <c r="U328" t="s">
        <v>18</v>
      </c>
    </row>
    <row r="329" spans="1:21" hidden="1" x14ac:dyDescent="0.25">
      <c r="A329" t="s">
        <v>34</v>
      </c>
      <c r="B329">
        <v>400</v>
      </c>
      <c r="C329">
        <v>105</v>
      </c>
      <c r="D329">
        <v>4</v>
      </c>
      <c r="E329">
        <v>0.17580699999999999</v>
      </c>
      <c r="F329">
        <v>92.25</v>
      </c>
      <c r="G329">
        <v>73.25</v>
      </c>
      <c r="H329">
        <v>0.79403794037940378</v>
      </c>
      <c r="I329">
        <v>67.235500000000002</v>
      </c>
      <c r="J329">
        <v>32.764499999999998</v>
      </c>
      <c r="K329">
        <v>86.666700000000006</v>
      </c>
      <c r="L329">
        <v>86</v>
      </c>
      <c r="M329">
        <v>100</v>
      </c>
      <c r="N329">
        <v>786.56822</v>
      </c>
      <c r="O329">
        <v>208.1</v>
      </c>
      <c r="P329">
        <v>578.20000000000005</v>
      </c>
      <c r="Q329">
        <v>0.26822000000000001</v>
      </c>
      <c r="R329">
        <v>157.045265</v>
      </c>
      <c r="S329">
        <v>100</v>
      </c>
      <c r="T329">
        <v>0.95</v>
      </c>
      <c r="U329" t="s">
        <v>18</v>
      </c>
    </row>
    <row r="330" spans="1:21" hidden="1" x14ac:dyDescent="0.25">
      <c r="A330" t="s">
        <v>34</v>
      </c>
      <c r="B330">
        <v>400</v>
      </c>
      <c r="C330">
        <v>105</v>
      </c>
      <c r="D330">
        <v>4</v>
      </c>
      <c r="E330">
        <v>0.17502699999999999</v>
      </c>
      <c r="F330">
        <v>92.25</v>
      </c>
      <c r="G330">
        <v>73.25</v>
      </c>
      <c r="H330">
        <v>0.79403794037940378</v>
      </c>
      <c r="I330">
        <v>68.600700000000003</v>
      </c>
      <c r="J330">
        <v>31.3993</v>
      </c>
      <c r="K330">
        <v>86.666700000000006</v>
      </c>
      <c r="L330">
        <v>86</v>
      </c>
      <c r="M330">
        <v>100</v>
      </c>
      <c r="N330">
        <v>786.56875000000002</v>
      </c>
      <c r="O330">
        <v>208.1</v>
      </c>
      <c r="P330">
        <v>578.20000000000005</v>
      </c>
      <c r="Q330">
        <v>0.26874999999999999</v>
      </c>
      <c r="R330">
        <v>156.04396600000001</v>
      </c>
      <c r="S330">
        <v>100</v>
      </c>
      <c r="T330">
        <v>0.95</v>
      </c>
      <c r="U330" t="s">
        <v>18</v>
      </c>
    </row>
    <row r="331" spans="1:21" hidden="1" x14ac:dyDescent="0.25">
      <c r="A331" t="s">
        <v>34</v>
      </c>
      <c r="B331">
        <v>400</v>
      </c>
      <c r="C331">
        <v>105</v>
      </c>
      <c r="D331">
        <v>4</v>
      </c>
      <c r="E331">
        <v>0.17763399999999999</v>
      </c>
      <c r="F331">
        <v>92.25</v>
      </c>
      <c r="G331">
        <v>73.25</v>
      </c>
      <c r="H331">
        <v>0.79403794037940378</v>
      </c>
      <c r="I331">
        <v>67.576800000000006</v>
      </c>
      <c r="J331">
        <v>32.423200000000001</v>
      </c>
      <c r="K331">
        <v>85.714299999999994</v>
      </c>
      <c r="L331">
        <v>85</v>
      </c>
      <c r="M331">
        <v>100</v>
      </c>
      <c r="N331">
        <v>786.96802000000002</v>
      </c>
      <c r="O331">
        <v>208.1</v>
      </c>
      <c r="P331">
        <v>578.6</v>
      </c>
      <c r="Q331">
        <v>0.26801999999999998</v>
      </c>
      <c r="R331">
        <v>156.697227</v>
      </c>
      <c r="S331">
        <v>100</v>
      </c>
      <c r="T331">
        <v>0.95</v>
      </c>
      <c r="U331" t="s">
        <v>18</v>
      </c>
    </row>
    <row r="332" spans="1:21" hidden="1" x14ac:dyDescent="0.25">
      <c r="A332" t="s">
        <v>34</v>
      </c>
      <c r="B332">
        <v>400</v>
      </c>
      <c r="C332">
        <v>105</v>
      </c>
      <c r="D332">
        <v>4</v>
      </c>
      <c r="E332">
        <v>0.170982</v>
      </c>
      <c r="F332">
        <v>92.25</v>
      </c>
      <c r="G332">
        <v>73.25</v>
      </c>
      <c r="H332">
        <v>0.79403794037940378</v>
      </c>
      <c r="I332">
        <v>67.918099999999995</v>
      </c>
      <c r="J332">
        <v>32.081899999999997</v>
      </c>
      <c r="K332">
        <v>87.619</v>
      </c>
      <c r="L332">
        <v>87</v>
      </c>
      <c r="M332">
        <v>100</v>
      </c>
      <c r="N332">
        <v>786.96942999999999</v>
      </c>
      <c r="O332">
        <v>208.1</v>
      </c>
      <c r="P332">
        <v>578.6</v>
      </c>
      <c r="Q332">
        <v>0.26943</v>
      </c>
      <c r="R332">
        <v>156.741749</v>
      </c>
      <c r="S332">
        <v>100</v>
      </c>
      <c r="T332">
        <v>0.95</v>
      </c>
      <c r="U332" t="s">
        <v>18</v>
      </c>
    </row>
    <row r="333" spans="1:21" hidden="1" x14ac:dyDescent="0.25">
      <c r="A333" t="s">
        <v>34</v>
      </c>
      <c r="B333">
        <v>400</v>
      </c>
      <c r="C333">
        <v>105</v>
      </c>
      <c r="D333">
        <v>4</v>
      </c>
      <c r="E333">
        <v>0.172875</v>
      </c>
      <c r="F333">
        <v>92.25</v>
      </c>
      <c r="G333">
        <v>73.25</v>
      </c>
      <c r="H333">
        <v>0.79403794037940378</v>
      </c>
      <c r="I333">
        <v>67.918099999999995</v>
      </c>
      <c r="J333">
        <v>32.081899999999997</v>
      </c>
      <c r="K333">
        <v>85.714299999999994</v>
      </c>
      <c r="L333">
        <v>85</v>
      </c>
      <c r="M333">
        <v>100</v>
      </c>
      <c r="N333">
        <v>787.16790000000003</v>
      </c>
      <c r="O333">
        <v>208.1</v>
      </c>
      <c r="P333">
        <v>578.79999999999995</v>
      </c>
      <c r="Q333">
        <v>0.26790000000000003</v>
      </c>
      <c r="R333">
        <v>156.250891</v>
      </c>
      <c r="S333">
        <v>100</v>
      </c>
      <c r="T333">
        <v>0.95</v>
      </c>
      <c r="U333" t="s">
        <v>18</v>
      </c>
    </row>
    <row r="334" spans="1:21" hidden="1" x14ac:dyDescent="0.25">
      <c r="A334" t="s">
        <v>34</v>
      </c>
      <c r="B334">
        <v>400</v>
      </c>
      <c r="C334">
        <v>105</v>
      </c>
      <c r="D334">
        <v>4</v>
      </c>
      <c r="E334">
        <v>0.17489199999999999</v>
      </c>
      <c r="F334">
        <v>92.25</v>
      </c>
      <c r="G334">
        <v>73.25</v>
      </c>
      <c r="H334">
        <v>0.79403794037940378</v>
      </c>
      <c r="I334">
        <v>67.918099999999995</v>
      </c>
      <c r="J334">
        <v>32.081899999999997</v>
      </c>
      <c r="K334">
        <v>83.8095</v>
      </c>
      <c r="L334">
        <v>83</v>
      </c>
      <c r="M334">
        <v>100</v>
      </c>
      <c r="N334">
        <v>787.36620000000005</v>
      </c>
      <c r="O334">
        <v>208.1</v>
      </c>
      <c r="P334">
        <v>579</v>
      </c>
      <c r="Q334">
        <v>0.26619999999999999</v>
      </c>
      <c r="R334">
        <v>156.73053300000001</v>
      </c>
      <c r="S334">
        <v>100</v>
      </c>
      <c r="T334">
        <v>0.95</v>
      </c>
      <c r="U334" t="s">
        <v>18</v>
      </c>
    </row>
    <row r="335" spans="1:21" hidden="1" x14ac:dyDescent="0.25">
      <c r="A335" t="s">
        <v>34</v>
      </c>
      <c r="B335">
        <v>400</v>
      </c>
      <c r="C335">
        <v>105</v>
      </c>
      <c r="D335">
        <v>4</v>
      </c>
      <c r="E335">
        <v>0.175341</v>
      </c>
      <c r="F335">
        <v>92.25</v>
      </c>
      <c r="G335">
        <v>73.25</v>
      </c>
      <c r="H335">
        <v>0.79403794037940378</v>
      </c>
      <c r="I335">
        <v>67.235500000000002</v>
      </c>
      <c r="J335">
        <v>32.764499999999998</v>
      </c>
      <c r="K335">
        <v>84.761899999999997</v>
      </c>
      <c r="L335">
        <v>84</v>
      </c>
      <c r="M335">
        <v>100</v>
      </c>
      <c r="N335">
        <v>787.56704999999999</v>
      </c>
      <c r="O335">
        <v>208.1</v>
      </c>
      <c r="P335">
        <v>579.20000000000005</v>
      </c>
      <c r="Q335">
        <v>0.26705000000000001</v>
      </c>
      <c r="R335">
        <v>158.749348</v>
      </c>
      <c r="S335">
        <v>100</v>
      </c>
      <c r="T335">
        <v>0.95</v>
      </c>
      <c r="U335" t="s">
        <v>18</v>
      </c>
    </row>
    <row r="336" spans="1:21" hidden="1" x14ac:dyDescent="0.25">
      <c r="A336" t="s">
        <v>34</v>
      </c>
      <c r="B336">
        <v>400</v>
      </c>
      <c r="C336">
        <v>105</v>
      </c>
      <c r="D336">
        <v>4</v>
      </c>
      <c r="E336">
        <v>0.17436199999999999</v>
      </c>
      <c r="F336">
        <v>92.25</v>
      </c>
      <c r="G336">
        <v>73.25</v>
      </c>
      <c r="H336">
        <v>0.79403794037940378</v>
      </c>
      <c r="I336">
        <v>67.576800000000006</v>
      </c>
      <c r="J336">
        <v>32.423200000000001</v>
      </c>
      <c r="K336">
        <v>86.666700000000006</v>
      </c>
      <c r="L336">
        <v>86</v>
      </c>
      <c r="M336">
        <v>100</v>
      </c>
      <c r="N336">
        <v>788.16833999999994</v>
      </c>
      <c r="O336">
        <v>208.1</v>
      </c>
      <c r="P336">
        <v>579.79999999999995</v>
      </c>
      <c r="Q336">
        <v>0.26834000000000002</v>
      </c>
      <c r="R336">
        <v>158.14138600000001</v>
      </c>
      <c r="S336">
        <v>100</v>
      </c>
      <c r="T336">
        <v>0.95</v>
      </c>
      <c r="U336" t="s">
        <v>18</v>
      </c>
    </row>
    <row r="337" spans="1:21" hidden="1" x14ac:dyDescent="0.25">
      <c r="A337" t="s">
        <v>34</v>
      </c>
      <c r="B337">
        <v>400</v>
      </c>
      <c r="C337">
        <v>105</v>
      </c>
      <c r="D337">
        <v>4</v>
      </c>
      <c r="E337">
        <v>0.16947100000000001</v>
      </c>
      <c r="F337">
        <v>92.25</v>
      </c>
      <c r="G337">
        <v>73.25</v>
      </c>
      <c r="H337">
        <v>0.79403794037940378</v>
      </c>
      <c r="I337">
        <v>67.918099999999995</v>
      </c>
      <c r="J337">
        <v>32.081899999999997</v>
      </c>
      <c r="K337">
        <v>85.714299999999994</v>
      </c>
      <c r="L337">
        <v>85</v>
      </c>
      <c r="M337">
        <v>100</v>
      </c>
      <c r="N337">
        <v>788.36737000000005</v>
      </c>
      <c r="O337">
        <v>208.1</v>
      </c>
      <c r="P337">
        <v>580</v>
      </c>
      <c r="Q337">
        <v>0.26737</v>
      </c>
      <c r="R337">
        <v>155.98578800000001</v>
      </c>
      <c r="S337">
        <v>100</v>
      </c>
      <c r="T337">
        <v>0.95</v>
      </c>
      <c r="U337" t="s">
        <v>18</v>
      </c>
    </row>
    <row r="338" spans="1:21" hidden="1" x14ac:dyDescent="0.25">
      <c r="A338" t="s">
        <v>34</v>
      </c>
      <c r="B338">
        <v>400</v>
      </c>
      <c r="C338">
        <v>105</v>
      </c>
      <c r="D338">
        <v>4</v>
      </c>
      <c r="E338">
        <v>0.17236899999999999</v>
      </c>
      <c r="F338">
        <v>92.25</v>
      </c>
      <c r="G338">
        <v>73.25</v>
      </c>
      <c r="H338">
        <v>0.79403794037940378</v>
      </c>
      <c r="I338">
        <v>67.235500000000002</v>
      </c>
      <c r="J338">
        <v>32.764499999999998</v>
      </c>
      <c r="K338">
        <v>85.714299999999994</v>
      </c>
      <c r="L338">
        <v>85</v>
      </c>
      <c r="M338">
        <v>100</v>
      </c>
      <c r="N338">
        <v>788.36789999999996</v>
      </c>
      <c r="O338">
        <v>208.1</v>
      </c>
      <c r="P338">
        <v>580</v>
      </c>
      <c r="Q338">
        <v>0.26790000000000003</v>
      </c>
      <c r="R338">
        <v>157.69570999999999</v>
      </c>
      <c r="S338">
        <v>100</v>
      </c>
      <c r="T338">
        <v>0.95</v>
      </c>
      <c r="U338" t="s">
        <v>18</v>
      </c>
    </row>
    <row r="339" spans="1:21" hidden="1" x14ac:dyDescent="0.25">
      <c r="A339" t="s">
        <v>34</v>
      </c>
      <c r="B339">
        <v>400</v>
      </c>
      <c r="C339">
        <v>105</v>
      </c>
      <c r="D339">
        <v>4</v>
      </c>
      <c r="E339">
        <v>0.17586299999999999</v>
      </c>
      <c r="F339">
        <v>92.25</v>
      </c>
      <c r="G339">
        <v>73.25</v>
      </c>
      <c r="H339">
        <v>0.79403794037940378</v>
      </c>
      <c r="I339">
        <v>68.600700000000003</v>
      </c>
      <c r="J339">
        <v>31.3993</v>
      </c>
      <c r="K339">
        <v>84.761899999999997</v>
      </c>
      <c r="L339">
        <v>84</v>
      </c>
      <c r="M339">
        <v>100</v>
      </c>
      <c r="N339">
        <v>788.56717000000003</v>
      </c>
      <c r="O339">
        <v>208.1</v>
      </c>
      <c r="P339">
        <v>580.20000000000005</v>
      </c>
      <c r="Q339">
        <v>0.26717000000000002</v>
      </c>
      <c r="R339">
        <v>156.25121100000001</v>
      </c>
      <c r="S339">
        <v>100</v>
      </c>
      <c r="T339">
        <v>0.95</v>
      </c>
      <c r="U339" t="s">
        <v>18</v>
      </c>
    </row>
    <row r="340" spans="1:21" hidden="1" x14ac:dyDescent="0.25">
      <c r="A340" t="s">
        <v>34</v>
      </c>
      <c r="B340">
        <v>400</v>
      </c>
      <c r="C340">
        <v>105</v>
      </c>
      <c r="D340">
        <v>4</v>
      </c>
      <c r="E340">
        <v>0.168295</v>
      </c>
      <c r="F340">
        <v>92.25</v>
      </c>
      <c r="G340">
        <v>73.25</v>
      </c>
      <c r="H340">
        <v>0.79403794037940378</v>
      </c>
      <c r="I340">
        <v>68.259399999999999</v>
      </c>
      <c r="J340">
        <v>31.740600000000001</v>
      </c>
      <c r="K340">
        <v>86.666700000000006</v>
      </c>
      <c r="L340">
        <v>86</v>
      </c>
      <c r="M340">
        <v>100</v>
      </c>
      <c r="N340">
        <v>788.56911000000002</v>
      </c>
      <c r="O340">
        <v>208.1</v>
      </c>
      <c r="P340">
        <v>580.20000000000005</v>
      </c>
      <c r="Q340">
        <v>0.26911000000000002</v>
      </c>
      <c r="R340">
        <v>156.61152100000001</v>
      </c>
      <c r="S340">
        <v>100</v>
      </c>
      <c r="T340">
        <v>0.95</v>
      </c>
      <c r="U340" t="s">
        <v>18</v>
      </c>
    </row>
    <row r="341" spans="1:21" hidden="1" x14ac:dyDescent="0.25">
      <c r="A341" t="s">
        <v>34</v>
      </c>
      <c r="B341">
        <v>400</v>
      </c>
      <c r="C341">
        <v>105</v>
      </c>
      <c r="D341">
        <v>4</v>
      </c>
      <c r="E341">
        <v>0.17424500000000001</v>
      </c>
      <c r="F341">
        <v>92.25</v>
      </c>
      <c r="G341">
        <v>73.25</v>
      </c>
      <c r="H341">
        <v>0.79403794037940378</v>
      </c>
      <c r="I341">
        <v>67.576800000000006</v>
      </c>
      <c r="J341">
        <v>32.423200000000001</v>
      </c>
      <c r="K341">
        <v>85.714299999999994</v>
      </c>
      <c r="L341">
        <v>85</v>
      </c>
      <c r="M341">
        <v>100</v>
      </c>
      <c r="N341">
        <v>788.76790000000005</v>
      </c>
      <c r="O341">
        <v>208.1</v>
      </c>
      <c r="P341">
        <v>580.4</v>
      </c>
      <c r="Q341">
        <v>0.26790000000000003</v>
      </c>
      <c r="R341">
        <v>157.60414399999999</v>
      </c>
      <c r="S341">
        <v>100</v>
      </c>
      <c r="T341">
        <v>0.95</v>
      </c>
      <c r="U341" t="s">
        <v>18</v>
      </c>
    </row>
    <row r="342" spans="1:21" hidden="1" x14ac:dyDescent="0.25">
      <c r="A342" t="s">
        <v>34</v>
      </c>
      <c r="B342">
        <v>400</v>
      </c>
      <c r="C342">
        <v>105</v>
      </c>
      <c r="D342">
        <v>4</v>
      </c>
      <c r="E342">
        <v>0.173015</v>
      </c>
      <c r="F342">
        <v>92.25</v>
      </c>
      <c r="G342">
        <v>73.25</v>
      </c>
      <c r="H342">
        <v>0.79403794037940378</v>
      </c>
      <c r="I342">
        <v>67.576800000000006</v>
      </c>
      <c r="J342">
        <v>32.423200000000001</v>
      </c>
      <c r="K342">
        <v>85.714299999999994</v>
      </c>
      <c r="L342">
        <v>85</v>
      </c>
      <c r="M342">
        <v>100</v>
      </c>
      <c r="N342">
        <v>789.16801999999996</v>
      </c>
      <c r="O342">
        <v>208.1</v>
      </c>
      <c r="P342">
        <v>580.79999999999995</v>
      </c>
      <c r="Q342">
        <v>0.26801999999999998</v>
      </c>
      <c r="R342">
        <v>156.816754</v>
      </c>
      <c r="S342">
        <v>100</v>
      </c>
      <c r="T342">
        <v>0.95</v>
      </c>
      <c r="U342" t="s">
        <v>18</v>
      </c>
    </row>
    <row r="343" spans="1:21" hidden="1" x14ac:dyDescent="0.25">
      <c r="A343" t="s">
        <v>34</v>
      </c>
      <c r="B343">
        <v>400</v>
      </c>
      <c r="C343">
        <v>105</v>
      </c>
      <c r="D343">
        <v>4</v>
      </c>
      <c r="E343">
        <v>0.170983</v>
      </c>
      <c r="F343">
        <v>92.25</v>
      </c>
      <c r="G343">
        <v>73.25</v>
      </c>
      <c r="H343">
        <v>0.79403794037940378</v>
      </c>
      <c r="I343">
        <v>67.576800000000006</v>
      </c>
      <c r="J343">
        <v>32.423200000000001</v>
      </c>
      <c r="K343">
        <v>87.619</v>
      </c>
      <c r="L343">
        <v>87</v>
      </c>
      <c r="M343">
        <v>100</v>
      </c>
      <c r="N343">
        <v>789.76959999999997</v>
      </c>
      <c r="O343">
        <v>208.1</v>
      </c>
      <c r="P343">
        <v>581.4</v>
      </c>
      <c r="Q343">
        <v>0.26960000000000001</v>
      </c>
      <c r="R343">
        <v>156.71170599999999</v>
      </c>
      <c r="S343">
        <v>100</v>
      </c>
      <c r="T343">
        <v>0.95</v>
      </c>
      <c r="U343" t="s">
        <v>18</v>
      </c>
    </row>
    <row r="344" spans="1:21" hidden="1" x14ac:dyDescent="0.25">
      <c r="A344" t="s">
        <v>34</v>
      </c>
      <c r="B344">
        <v>400</v>
      </c>
      <c r="C344">
        <v>105</v>
      </c>
      <c r="D344">
        <v>4</v>
      </c>
      <c r="E344">
        <v>0.17261499999999999</v>
      </c>
      <c r="F344">
        <v>92.25</v>
      </c>
      <c r="G344">
        <v>73.25</v>
      </c>
      <c r="H344">
        <v>0.79403794037940378</v>
      </c>
      <c r="I344">
        <v>67.576800000000006</v>
      </c>
      <c r="J344">
        <v>32.423200000000001</v>
      </c>
      <c r="K344">
        <v>86.666700000000006</v>
      </c>
      <c r="L344">
        <v>86</v>
      </c>
      <c r="M344">
        <v>100</v>
      </c>
      <c r="N344">
        <v>789.96875</v>
      </c>
      <c r="O344">
        <v>208.1</v>
      </c>
      <c r="P344">
        <v>581.6</v>
      </c>
      <c r="Q344">
        <v>0.26874999999999999</v>
      </c>
      <c r="R344">
        <v>158.40401800000001</v>
      </c>
      <c r="S344">
        <v>100</v>
      </c>
      <c r="T344">
        <v>0.95</v>
      </c>
      <c r="U344" t="s">
        <v>18</v>
      </c>
    </row>
    <row r="345" spans="1:21" hidden="1" x14ac:dyDescent="0.25">
      <c r="A345" t="s">
        <v>34</v>
      </c>
      <c r="B345">
        <v>400</v>
      </c>
      <c r="C345">
        <v>105</v>
      </c>
      <c r="D345">
        <v>4</v>
      </c>
      <c r="E345">
        <v>0.169434</v>
      </c>
      <c r="F345">
        <v>92.25</v>
      </c>
      <c r="G345">
        <v>73</v>
      </c>
      <c r="H345">
        <v>0.79132791327913277</v>
      </c>
      <c r="I345">
        <v>65.753399999999999</v>
      </c>
      <c r="J345">
        <v>34.246600000000001</v>
      </c>
      <c r="K345">
        <v>83.8095</v>
      </c>
      <c r="L345">
        <v>83</v>
      </c>
      <c r="M345">
        <v>100</v>
      </c>
      <c r="N345">
        <v>791.06619999999998</v>
      </c>
      <c r="O345">
        <v>208.1</v>
      </c>
      <c r="P345">
        <v>582.70000000000005</v>
      </c>
      <c r="Q345">
        <v>0.26619999999999999</v>
      </c>
      <c r="R345">
        <v>160.22251600000001</v>
      </c>
      <c r="S345">
        <v>100</v>
      </c>
      <c r="T345">
        <v>0.95</v>
      </c>
      <c r="U345" t="s">
        <v>18</v>
      </c>
    </row>
    <row r="346" spans="1:21" hidden="1" x14ac:dyDescent="0.25">
      <c r="A346" t="s">
        <v>34</v>
      </c>
      <c r="B346">
        <v>400</v>
      </c>
      <c r="C346">
        <v>105</v>
      </c>
      <c r="D346">
        <v>4</v>
      </c>
      <c r="E346">
        <v>0.178977</v>
      </c>
      <c r="F346">
        <v>92.25</v>
      </c>
      <c r="G346">
        <v>73.25</v>
      </c>
      <c r="H346">
        <v>0.79403794037940378</v>
      </c>
      <c r="I346">
        <v>68.600700000000003</v>
      </c>
      <c r="J346">
        <v>31.3993</v>
      </c>
      <c r="K346">
        <v>87.619</v>
      </c>
      <c r="L346">
        <v>87</v>
      </c>
      <c r="M346">
        <v>100</v>
      </c>
      <c r="N346">
        <v>791.76907000000006</v>
      </c>
      <c r="O346">
        <v>208.1</v>
      </c>
      <c r="P346">
        <v>583.4</v>
      </c>
      <c r="Q346">
        <v>0.26906999999999998</v>
      </c>
      <c r="R346">
        <v>155.73816500000001</v>
      </c>
      <c r="S346">
        <v>100</v>
      </c>
      <c r="T346">
        <v>0.95</v>
      </c>
      <c r="U346" t="s">
        <v>18</v>
      </c>
    </row>
    <row r="347" spans="1:21" hidden="1" x14ac:dyDescent="0.25">
      <c r="A347" t="s">
        <v>34</v>
      </c>
      <c r="B347">
        <v>400</v>
      </c>
      <c r="C347">
        <v>105</v>
      </c>
      <c r="D347">
        <v>4</v>
      </c>
      <c r="E347">
        <v>0.17146700000000001</v>
      </c>
      <c r="F347">
        <v>92.25</v>
      </c>
      <c r="G347">
        <v>73</v>
      </c>
      <c r="H347">
        <v>0.79132791327913277</v>
      </c>
      <c r="I347">
        <v>67.1233</v>
      </c>
      <c r="J347">
        <v>32.8767</v>
      </c>
      <c r="K347">
        <v>84.761899999999997</v>
      </c>
      <c r="L347">
        <v>84</v>
      </c>
      <c r="M347">
        <v>100</v>
      </c>
      <c r="N347">
        <v>793.06717000000003</v>
      </c>
      <c r="O347">
        <v>208.1</v>
      </c>
      <c r="P347">
        <v>584.70000000000005</v>
      </c>
      <c r="Q347">
        <v>0.26717000000000002</v>
      </c>
      <c r="R347">
        <v>158.12071</v>
      </c>
      <c r="S347">
        <v>100</v>
      </c>
      <c r="T347">
        <v>0.95</v>
      </c>
      <c r="U347" t="s">
        <v>18</v>
      </c>
    </row>
    <row r="348" spans="1:21" hidden="1" x14ac:dyDescent="0.25">
      <c r="A348" t="s">
        <v>34</v>
      </c>
      <c r="B348">
        <v>400</v>
      </c>
      <c r="C348">
        <v>105</v>
      </c>
      <c r="D348">
        <v>4</v>
      </c>
      <c r="E348">
        <v>0.17188999999999999</v>
      </c>
      <c r="F348">
        <v>92.25</v>
      </c>
      <c r="G348">
        <v>73</v>
      </c>
      <c r="H348">
        <v>0.79132791327913277</v>
      </c>
      <c r="I348">
        <v>66.780799999999999</v>
      </c>
      <c r="J348">
        <v>33.219200000000001</v>
      </c>
      <c r="K348">
        <v>84.761899999999997</v>
      </c>
      <c r="L348">
        <v>84</v>
      </c>
      <c r="M348">
        <v>100</v>
      </c>
      <c r="N348">
        <v>794.86704999999995</v>
      </c>
      <c r="O348">
        <v>208.1</v>
      </c>
      <c r="P348">
        <v>586.5</v>
      </c>
      <c r="Q348">
        <v>0.26705000000000001</v>
      </c>
      <c r="R348">
        <v>158.46588</v>
      </c>
      <c r="S348">
        <v>100</v>
      </c>
      <c r="T348">
        <v>0.95</v>
      </c>
      <c r="U348" t="s">
        <v>18</v>
      </c>
    </row>
    <row r="349" spans="1:21" hidden="1" x14ac:dyDescent="0.25">
      <c r="A349" t="s">
        <v>34</v>
      </c>
      <c r="B349">
        <v>400</v>
      </c>
      <c r="C349">
        <v>105</v>
      </c>
      <c r="D349">
        <v>4</v>
      </c>
      <c r="E349">
        <v>0.17188999999999999</v>
      </c>
      <c r="F349">
        <v>92.25</v>
      </c>
      <c r="G349">
        <v>73</v>
      </c>
      <c r="H349">
        <v>0.79132791327913277</v>
      </c>
      <c r="I349">
        <v>68.493200000000002</v>
      </c>
      <c r="J349">
        <v>31.506799999999998</v>
      </c>
      <c r="K349">
        <v>86.666700000000006</v>
      </c>
      <c r="L349">
        <v>86</v>
      </c>
      <c r="M349">
        <v>100</v>
      </c>
      <c r="N349">
        <v>795.26874999999995</v>
      </c>
      <c r="O349">
        <v>208.1</v>
      </c>
      <c r="P349">
        <v>586.9</v>
      </c>
      <c r="Q349">
        <v>0.26874999999999999</v>
      </c>
      <c r="R349">
        <v>157.175062</v>
      </c>
      <c r="S349">
        <v>100</v>
      </c>
      <c r="T349">
        <v>0.95</v>
      </c>
      <c r="U349" t="s">
        <v>18</v>
      </c>
    </row>
    <row r="350" spans="1:21" hidden="1" x14ac:dyDescent="0.25">
      <c r="A350" t="s">
        <v>34</v>
      </c>
      <c r="B350">
        <v>400</v>
      </c>
      <c r="C350">
        <v>105</v>
      </c>
      <c r="D350">
        <v>4</v>
      </c>
      <c r="E350">
        <v>0.17475599999999999</v>
      </c>
      <c r="F350">
        <v>92.25</v>
      </c>
      <c r="G350">
        <v>73</v>
      </c>
      <c r="H350">
        <v>0.79132791327913277</v>
      </c>
      <c r="I350">
        <v>67.1233</v>
      </c>
      <c r="J350">
        <v>32.8767</v>
      </c>
      <c r="K350">
        <v>87.619</v>
      </c>
      <c r="L350">
        <v>87</v>
      </c>
      <c r="M350">
        <v>100</v>
      </c>
      <c r="N350">
        <v>795.46960000000001</v>
      </c>
      <c r="O350">
        <v>208.1</v>
      </c>
      <c r="P350">
        <v>587.1</v>
      </c>
      <c r="Q350">
        <v>0.26960000000000001</v>
      </c>
      <c r="R350">
        <v>158.81688199999999</v>
      </c>
      <c r="S350">
        <v>100</v>
      </c>
      <c r="T350">
        <v>0.95</v>
      </c>
      <c r="U350" t="s">
        <v>18</v>
      </c>
    </row>
    <row r="351" spans="1:21" hidden="1" x14ac:dyDescent="0.25">
      <c r="A351" t="s">
        <v>34</v>
      </c>
      <c r="B351">
        <v>400</v>
      </c>
      <c r="C351">
        <v>105</v>
      </c>
      <c r="D351">
        <v>4</v>
      </c>
      <c r="E351">
        <v>0.17399999999999999</v>
      </c>
      <c r="F351">
        <v>92.25</v>
      </c>
      <c r="G351">
        <v>73</v>
      </c>
      <c r="H351">
        <v>0.79132791327913277</v>
      </c>
      <c r="I351">
        <v>67.1233</v>
      </c>
      <c r="J351">
        <v>32.8767</v>
      </c>
      <c r="K351">
        <v>85.714299999999994</v>
      </c>
      <c r="L351">
        <v>85</v>
      </c>
      <c r="M351">
        <v>100</v>
      </c>
      <c r="N351">
        <v>795.66790000000003</v>
      </c>
      <c r="O351">
        <v>208.1</v>
      </c>
      <c r="P351">
        <v>587.29999999999995</v>
      </c>
      <c r="Q351">
        <v>0.26790000000000003</v>
      </c>
      <c r="R351">
        <v>158.403345</v>
      </c>
      <c r="S351">
        <v>100</v>
      </c>
      <c r="T351">
        <v>0.95</v>
      </c>
      <c r="U351" t="s">
        <v>18</v>
      </c>
    </row>
    <row r="352" spans="1:21" hidden="1" x14ac:dyDescent="0.25">
      <c r="A352" t="s">
        <v>34</v>
      </c>
      <c r="B352">
        <v>400</v>
      </c>
      <c r="C352">
        <v>105</v>
      </c>
      <c r="D352">
        <v>4</v>
      </c>
      <c r="E352">
        <v>0.18093600000000001</v>
      </c>
      <c r="F352">
        <v>92.25</v>
      </c>
      <c r="G352">
        <v>73</v>
      </c>
      <c r="H352">
        <v>0.79132791327913277</v>
      </c>
      <c r="I352">
        <v>67.465800000000002</v>
      </c>
      <c r="J352">
        <v>32.534199999999998</v>
      </c>
      <c r="K352">
        <v>85.714299999999994</v>
      </c>
      <c r="L352">
        <v>85</v>
      </c>
      <c r="M352">
        <v>100</v>
      </c>
      <c r="N352">
        <v>795.86789999999996</v>
      </c>
      <c r="O352">
        <v>208.1</v>
      </c>
      <c r="P352">
        <v>587.5</v>
      </c>
      <c r="Q352">
        <v>0.26790000000000003</v>
      </c>
      <c r="R352">
        <v>157.77528599999999</v>
      </c>
      <c r="S352">
        <v>100</v>
      </c>
      <c r="T352">
        <v>0.95</v>
      </c>
      <c r="U352" t="s">
        <v>18</v>
      </c>
    </row>
    <row r="353" spans="1:21" hidden="1" x14ac:dyDescent="0.25">
      <c r="A353" t="s">
        <v>34</v>
      </c>
      <c r="B353">
        <v>400</v>
      </c>
      <c r="C353">
        <v>105</v>
      </c>
      <c r="D353">
        <v>4</v>
      </c>
      <c r="E353">
        <v>0.17342099999999999</v>
      </c>
      <c r="F353">
        <v>92.25</v>
      </c>
      <c r="G353">
        <v>73</v>
      </c>
      <c r="H353">
        <v>0.79132791327913277</v>
      </c>
      <c r="I353">
        <v>66.438400000000001</v>
      </c>
      <c r="J353">
        <v>33.561599999999999</v>
      </c>
      <c r="K353">
        <v>84.761899999999997</v>
      </c>
      <c r="L353">
        <v>84</v>
      </c>
      <c r="M353">
        <v>100</v>
      </c>
      <c r="N353">
        <v>796.06704999999999</v>
      </c>
      <c r="O353">
        <v>208.1</v>
      </c>
      <c r="P353">
        <v>587.70000000000005</v>
      </c>
      <c r="Q353">
        <v>0.26705000000000001</v>
      </c>
      <c r="R353">
        <v>158.846869</v>
      </c>
      <c r="S353">
        <v>100</v>
      </c>
      <c r="T353">
        <v>0.95</v>
      </c>
      <c r="U353" t="s">
        <v>18</v>
      </c>
    </row>
    <row r="354" spans="1:21" hidden="1" x14ac:dyDescent="0.25">
      <c r="A354" t="s">
        <v>34</v>
      </c>
      <c r="B354">
        <v>400</v>
      </c>
      <c r="C354">
        <v>105</v>
      </c>
      <c r="D354">
        <v>4</v>
      </c>
      <c r="E354">
        <v>0.17599799999999999</v>
      </c>
      <c r="F354">
        <v>92.25</v>
      </c>
      <c r="G354">
        <v>73</v>
      </c>
      <c r="H354">
        <v>0.79132791327913277</v>
      </c>
      <c r="I354">
        <v>67.808199999999999</v>
      </c>
      <c r="J354">
        <v>32.191800000000001</v>
      </c>
      <c r="K354">
        <v>85.714299999999994</v>
      </c>
      <c r="L354">
        <v>85</v>
      </c>
      <c r="M354">
        <v>100</v>
      </c>
      <c r="N354">
        <v>796.46749</v>
      </c>
      <c r="O354">
        <v>208.1</v>
      </c>
      <c r="P354">
        <v>588.1</v>
      </c>
      <c r="Q354">
        <v>0.26749000000000001</v>
      </c>
      <c r="R354">
        <v>157.25335200000001</v>
      </c>
      <c r="S354">
        <v>100</v>
      </c>
      <c r="T354">
        <v>0.95</v>
      </c>
      <c r="U354" t="s">
        <v>18</v>
      </c>
    </row>
    <row r="355" spans="1:21" hidden="1" x14ac:dyDescent="0.25">
      <c r="A355" t="s">
        <v>34</v>
      </c>
      <c r="B355">
        <v>400</v>
      </c>
      <c r="C355">
        <v>105</v>
      </c>
      <c r="D355">
        <v>4</v>
      </c>
      <c r="E355">
        <v>0.172761</v>
      </c>
      <c r="F355">
        <v>92.25</v>
      </c>
      <c r="G355">
        <v>73</v>
      </c>
      <c r="H355">
        <v>0.79132791327913277</v>
      </c>
      <c r="I355">
        <v>68.150700000000001</v>
      </c>
      <c r="J355">
        <v>31.849299999999999</v>
      </c>
      <c r="K355">
        <v>87.619</v>
      </c>
      <c r="L355">
        <v>87</v>
      </c>
      <c r="M355">
        <v>100</v>
      </c>
      <c r="N355">
        <v>797.06960000000004</v>
      </c>
      <c r="O355">
        <v>208.1</v>
      </c>
      <c r="P355">
        <v>588.70000000000005</v>
      </c>
      <c r="Q355">
        <v>0.26960000000000001</v>
      </c>
      <c r="R355">
        <v>156.74608599999999</v>
      </c>
      <c r="S355">
        <v>100</v>
      </c>
      <c r="T355">
        <v>0.95</v>
      </c>
      <c r="U355" t="s">
        <v>18</v>
      </c>
    </row>
    <row r="356" spans="1:21" hidden="1" x14ac:dyDescent="0.25">
      <c r="A356" t="s">
        <v>34</v>
      </c>
      <c r="B356">
        <v>400</v>
      </c>
      <c r="C356">
        <v>105</v>
      </c>
      <c r="D356">
        <v>4</v>
      </c>
      <c r="E356">
        <v>0.17512</v>
      </c>
      <c r="F356">
        <v>92.25</v>
      </c>
      <c r="G356">
        <v>73</v>
      </c>
      <c r="H356">
        <v>0.79132791327913277</v>
      </c>
      <c r="I356">
        <v>66.780799999999999</v>
      </c>
      <c r="J356">
        <v>33.219200000000001</v>
      </c>
      <c r="K356">
        <v>85.714299999999994</v>
      </c>
      <c r="L356">
        <v>85</v>
      </c>
      <c r="M356">
        <v>100</v>
      </c>
      <c r="N356">
        <v>797.26790000000005</v>
      </c>
      <c r="O356">
        <v>208.1</v>
      </c>
      <c r="P356">
        <v>588.9</v>
      </c>
      <c r="Q356">
        <v>0.26790000000000003</v>
      </c>
      <c r="R356">
        <v>157.64433399999999</v>
      </c>
      <c r="S356">
        <v>100</v>
      </c>
      <c r="T356">
        <v>0.95</v>
      </c>
      <c r="U356" t="s">
        <v>18</v>
      </c>
    </row>
    <row r="357" spans="1:21" hidden="1" x14ac:dyDescent="0.25">
      <c r="A357" t="s">
        <v>34</v>
      </c>
      <c r="B357">
        <v>400</v>
      </c>
      <c r="C357">
        <v>105</v>
      </c>
      <c r="D357">
        <v>4</v>
      </c>
      <c r="E357">
        <v>0.17383499999999999</v>
      </c>
      <c r="F357">
        <v>92.25</v>
      </c>
      <c r="G357">
        <v>73</v>
      </c>
      <c r="H357">
        <v>0.79132791327913277</v>
      </c>
      <c r="I357">
        <v>68.150700000000001</v>
      </c>
      <c r="J357">
        <v>31.849299999999999</v>
      </c>
      <c r="K357">
        <v>84.761899999999997</v>
      </c>
      <c r="L357">
        <v>84</v>
      </c>
      <c r="M357">
        <v>100</v>
      </c>
      <c r="N357">
        <v>798.46651999999995</v>
      </c>
      <c r="O357">
        <v>208.1</v>
      </c>
      <c r="P357">
        <v>590.1</v>
      </c>
      <c r="Q357">
        <v>0.26651999999999998</v>
      </c>
      <c r="R357">
        <v>157.092296</v>
      </c>
      <c r="S357">
        <v>100</v>
      </c>
      <c r="T357">
        <v>0.95</v>
      </c>
      <c r="U357" t="s">
        <v>18</v>
      </c>
    </row>
    <row r="358" spans="1:21" hidden="1" x14ac:dyDescent="0.25">
      <c r="A358" t="s">
        <v>34</v>
      </c>
      <c r="B358">
        <v>400</v>
      </c>
      <c r="C358">
        <v>105</v>
      </c>
      <c r="D358">
        <v>4</v>
      </c>
      <c r="E358">
        <v>0.17419100000000001</v>
      </c>
      <c r="F358">
        <v>92.25</v>
      </c>
      <c r="G358">
        <v>73</v>
      </c>
      <c r="H358">
        <v>0.79132791327913277</v>
      </c>
      <c r="I358">
        <v>68.150700000000001</v>
      </c>
      <c r="J358">
        <v>31.849299999999999</v>
      </c>
      <c r="K358">
        <v>84.761899999999997</v>
      </c>
      <c r="L358">
        <v>84</v>
      </c>
      <c r="M358">
        <v>100</v>
      </c>
      <c r="N358">
        <v>798.86716999999999</v>
      </c>
      <c r="O358">
        <v>208.1</v>
      </c>
      <c r="P358">
        <v>590.5</v>
      </c>
      <c r="Q358">
        <v>0.26717000000000002</v>
      </c>
      <c r="R358">
        <v>156.434764</v>
      </c>
      <c r="S358">
        <v>100</v>
      </c>
      <c r="T358">
        <v>0.95</v>
      </c>
      <c r="U358" t="s">
        <v>18</v>
      </c>
    </row>
    <row r="359" spans="1:21" hidden="1" x14ac:dyDescent="0.25">
      <c r="A359" t="s">
        <v>34</v>
      </c>
      <c r="B359">
        <v>400</v>
      </c>
      <c r="C359">
        <v>105</v>
      </c>
      <c r="D359">
        <v>4</v>
      </c>
      <c r="E359">
        <v>0.183253</v>
      </c>
      <c r="F359">
        <v>92.25</v>
      </c>
      <c r="G359">
        <v>73</v>
      </c>
      <c r="H359">
        <v>0.79132791327913277</v>
      </c>
      <c r="I359">
        <v>68.150700000000001</v>
      </c>
      <c r="J359">
        <v>31.849299999999999</v>
      </c>
      <c r="K359">
        <v>86.666700000000006</v>
      </c>
      <c r="L359">
        <v>86</v>
      </c>
      <c r="M359">
        <v>100</v>
      </c>
      <c r="N359">
        <v>799.46834000000001</v>
      </c>
      <c r="O359">
        <v>208.1</v>
      </c>
      <c r="P359">
        <v>591.1</v>
      </c>
      <c r="Q359">
        <v>0.26834000000000002</v>
      </c>
      <c r="R359">
        <v>156.73213200000001</v>
      </c>
      <c r="S359">
        <v>100</v>
      </c>
      <c r="T359">
        <v>0.95</v>
      </c>
      <c r="U359" t="s">
        <v>18</v>
      </c>
    </row>
    <row r="360" spans="1:21" hidden="1" x14ac:dyDescent="0.25">
      <c r="A360" t="s">
        <v>34</v>
      </c>
      <c r="B360">
        <v>400</v>
      </c>
      <c r="C360">
        <v>105</v>
      </c>
      <c r="D360">
        <v>4</v>
      </c>
      <c r="E360">
        <v>0.17443800000000001</v>
      </c>
      <c r="F360">
        <v>92.25</v>
      </c>
      <c r="G360">
        <v>72.75</v>
      </c>
      <c r="H360">
        <v>0.78861788617886175</v>
      </c>
      <c r="I360">
        <v>65.979399999999998</v>
      </c>
      <c r="J360">
        <v>34.020600000000002</v>
      </c>
      <c r="K360">
        <v>83.8095</v>
      </c>
      <c r="L360">
        <v>83</v>
      </c>
      <c r="M360">
        <v>100</v>
      </c>
      <c r="N360">
        <v>806.56619999999998</v>
      </c>
      <c r="O360">
        <v>208.1</v>
      </c>
      <c r="P360">
        <v>598.20000000000005</v>
      </c>
      <c r="Q360">
        <v>0.26619999999999999</v>
      </c>
      <c r="R360">
        <v>159.18603100000001</v>
      </c>
      <c r="S360">
        <v>100</v>
      </c>
      <c r="T360">
        <v>0.95</v>
      </c>
      <c r="U360" t="s">
        <v>18</v>
      </c>
    </row>
    <row r="361" spans="1:21" hidden="1" x14ac:dyDescent="0.25">
      <c r="A361" t="s">
        <v>34</v>
      </c>
      <c r="B361">
        <v>400</v>
      </c>
      <c r="C361">
        <v>105</v>
      </c>
      <c r="D361">
        <v>4</v>
      </c>
      <c r="E361">
        <v>0.168185</v>
      </c>
      <c r="F361">
        <v>92.25</v>
      </c>
      <c r="G361">
        <v>65.5</v>
      </c>
      <c r="H361">
        <v>0.71002710027100269</v>
      </c>
      <c r="I361">
        <v>76.717600000000004</v>
      </c>
      <c r="J361">
        <v>23.282399999999999</v>
      </c>
      <c r="K361">
        <v>86.666700000000006</v>
      </c>
      <c r="L361">
        <v>86</v>
      </c>
      <c r="M361">
        <v>100</v>
      </c>
      <c r="N361">
        <v>1016.26911</v>
      </c>
      <c r="O361">
        <v>208.1</v>
      </c>
      <c r="P361">
        <v>807.9</v>
      </c>
      <c r="Q361">
        <v>0.26911000000000002</v>
      </c>
      <c r="R361">
        <v>142.42887200000001</v>
      </c>
      <c r="S361">
        <v>100</v>
      </c>
      <c r="T361">
        <v>0.95</v>
      </c>
      <c r="U361" t="s">
        <v>18</v>
      </c>
    </row>
    <row r="362" spans="1:21" hidden="1" x14ac:dyDescent="0.25">
      <c r="A362" t="s">
        <v>33</v>
      </c>
      <c r="B362">
        <v>400</v>
      </c>
      <c r="C362">
        <v>105</v>
      </c>
      <c r="D362">
        <v>4</v>
      </c>
      <c r="E362">
        <v>0.13450400000000001</v>
      </c>
      <c r="F362">
        <v>92.25</v>
      </c>
      <c r="G362">
        <v>54</v>
      </c>
      <c r="H362">
        <v>0.58536585365853655</v>
      </c>
      <c r="I362">
        <v>97.685199999999995</v>
      </c>
      <c r="J362">
        <v>2.3148</v>
      </c>
      <c r="K362">
        <v>91.428600000000003</v>
      </c>
      <c r="L362">
        <v>91</v>
      </c>
      <c r="M362">
        <v>100</v>
      </c>
      <c r="N362">
        <v>1321.87312</v>
      </c>
      <c r="O362">
        <v>208.1</v>
      </c>
      <c r="P362">
        <v>1113.5</v>
      </c>
      <c r="Q362">
        <v>0.27311999999999997</v>
      </c>
      <c r="R362">
        <v>124.428612</v>
      </c>
      <c r="S362">
        <v>100</v>
      </c>
      <c r="T362">
        <v>0.95</v>
      </c>
      <c r="U362" t="s">
        <v>17</v>
      </c>
    </row>
    <row r="363" spans="1:21" hidden="1" x14ac:dyDescent="0.25">
      <c r="A363" t="s">
        <v>33</v>
      </c>
      <c r="B363">
        <v>400</v>
      </c>
      <c r="C363">
        <v>105</v>
      </c>
      <c r="D363">
        <v>4</v>
      </c>
      <c r="E363">
        <v>0.132441</v>
      </c>
      <c r="F363">
        <v>92.25</v>
      </c>
      <c r="G363">
        <v>54</v>
      </c>
      <c r="H363">
        <v>0.58536585365853655</v>
      </c>
      <c r="I363">
        <v>97.685199999999995</v>
      </c>
      <c r="J363">
        <v>2.3148</v>
      </c>
      <c r="K363">
        <v>92.381</v>
      </c>
      <c r="L363">
        <v>92</v>
      </c>
      <c r="M363">
        <v>100</v>
      </c>
      <c r="N363">
        <v>1321.8739700000001</v>
      </c>
      <c r="O363">
        <v>208.1</v>
      </c>
      <c r="P363">
        <v>1113.5</v>
      </c>
      <c r="Q363">
        <v>0.27396999999999999</v>
      </c>
      <c r="R363">
        <v>124.51791799999999</v>
      </c>
      <c r="S363">
        <v>100</v>
      </c>
      <c r="T363">
        <v>0.95</v>
      </c>
      <c r="U363" t="s">
        <v>17</v>
      </c>
    </row>
    <row r="364" spans="1:21" hidden="1" x14ac:dyDescent="0.25">
      <c r="A364" t="s">
        <v>33</v>
      </c>
      <c r="B364">
        <v>400</v>
      </c>
      <c r="C364">
        <v>105</v>
      </c>
      <c r="D364">
        <v>4</v>
      </c>
      <c r="E364">
        <v>0.133606</v>
      </c>
      <c r="F364">
        <v>92.25</v>
      </c>
      <c r="G364">
        <v>53.75</v>
      </c>
      <c r="H364">
        <v>0.58265582655826553</v>
      </c>
      <c r="I364">
        <v>97.674400000000006</v>
      </c>
      <c r="J364">
        <v>2.3256000000000001</v>
      </c>
      <c r="K364">
        <v>91.428600000000003</v>
      </c>
      <c r="L364">
        <v>91</v>
      </c>
      <c r="M364">
        <v>100</v>
      </c>
      <c r="N364">
        <v>1325.37312</v>
      </c>
      <c r="O364">
        <v>208.1</v>
      </c>
      <c r="P364">
        <v>1117</v>
      </c>
      <c r="Q364">
        <v>0.27311999999999997</v>
      </c>
      <c r="R364">
        <v>124.676035</v>
      </c>
      <c r="S364">
        <v>100</v>
      </c>
      <c r="T364">
        <v>0.95</v>
      </c>
      <c r="U364" t="s">
        <v>17</v>
      </c>
    </row>
    <row r="365" spans="1:21" hidden="1" x14ac:dyDescent="0.25">
      <c r="A365" t="s">
        <v>33</v>
      </c>
      <c r="B365">
        <v>400</v>
      </c>
      <c r="C365">
        <v>105</v>
      </c>
      <c r="D365">
        <v>4</v>
      </c>
      <c r="E365">
        <v>0.13467399999999999</v>
      </c>
      <c r="F365">
        <v>92.25</v>
      </c>
      <c r="G365">
        <v>53.75</v>
      </c>
      <c r="H365">
        <v>0.58265582655826553</v>
      </c>
      <c r="I365">
        <v>97.674400000000006</v>
      </c>
      <c r="J365">
        <v>2.3256000000000001</v>
      </c>
      <c r="K365">
        <v>91.428600000000003</v>
      </c>
      <c r="L365">
        <v>91</v>
      </c>
      <c r="M365">
        <v>100</v>
      </c>
      <c r="N365">
        <v>1325.37312</v>
      </c>
      <c r="O365">
        <v>208.1</v>
      </c>
      <c r="P365">
        <v>1117</v>
      </c>
      <c r="Q365">
        <v>0.27311999999999997</v>
      </c>
      <c r="R365">
        <v>124.706107</v>
      </c>
      <c r="S365">
        <v>100</v>
      </c>
      <c r="T365">
        <v>0.95</v>
      </c>
      <c r="U365" t="s">
        <v>17</v>
      </c>
    </row>
    <row r="366" spans="1:21" hidden="1" x14ac:dyDescent="0.25">
      <c r="A366" t="s">
        <v>33</v>
      </c>
      <c r="B366">
        <v>400</v>
      </c>
      <c r="C366">
        <v>105</v>
      </c>
      <c r="D366">
        <v>4</v>
      </c>
      <c r="E366">
        <v>0.13658100000000001</v>
      </c>
      <c r="F366">
        <v>92.25</v>
      </c>
      <c r="G366">
        <v>53.75</v>
      </c>
      <c r="H366">
        <v>0.58265582655826553</v>
      </c>
      <c r="I366">
        <v>97.674400000000006</v>
      </c>
      <c r="J366">
        <v>2.3256000000000001</v>
      </c>
      <c r="K366">
        <v>91.428600000000003</v>
      </c>
      <c r="L366">
        <v>91</v>
      </c>
      <c r="M366">
        <v>100</v>
      </c>
      <c r="N366">
        <v>1325.37312</v>
      </c>
      <c r="O366">
        <v>208.1</v>
      </c>
      <c r="P366">
        <v>1117</v>
      </c>
      <c r="Q366">
        <v>0.27311999999999997</v>
      </c>
      <c r="R366">
        <v>124.672555</v>
      </c>
      <c r="S366">
        <v>100</v>
      </c>
      <c r="T366">
        <v>0.95</v>
      </c>
      <c r="U366" t="s">
        <v>17</v>
      </c>
    </row>
    <row r="367" spans="1:21" hidden="1" x14ac:dyDescent="0.25">
      <c r="A367" t="s">
        <v>33</v>
      </c>
      <c r="B367">
        <v>400</v>
      </c>
      <c r="C367">
        <v>105</v>
      </c>
      <c r="D367">
        <v>4</v>
      </c>
      <c r="E367">
        <v>0.13359699999999999</v>
      </c>
      <c r="F367">
        <v>92.25</v>
      </c>
      <c r="G367">
        <v>53.75</v>
      </c>
      <c r="H367">
        <v>0.58265582655826553</v>
      </c>
      <c r="I367">
        <v>97.674400000000006</v>
      </c>
      <c r="J367">
        <v>2.3256000000000001</v>
      </c>
      <c r="K367">
        <v>91.428600000000003</v>
      </c>
      <c r="L367">
        <v>91</v>
      </c>
      <c r="M367">
        <v>100</v>
      </c>
      <c r="N367">
        <v>1325.37336</v>
      </c>
      <c r="O367">
        <v>208.1</v>
      </c>
      <c r="P367">
        <v>1117</v>
      </c>
      <c r="Q367">
        <v>0.27335999999999999</v>
      </c>
      <c r="R367">
        <v>124.649564</v>
      </c>
      <c r="S367">
        <v>100</v>
      </c>
      <c r="T367">
        <v>0.95</v>
      </c>
      <c r="U367" t="s">
        <v>17</v>
      </c>
    </row>
    <row r="368" spans="1:21" hidden="1" x14ac:dyDescent="0.25">
      <c r="A368" t="s">
        <v>33</v>
      </c>
      <c r="B368">
        <v>400</v>
      </c>
      <c r="C368">
        <v>105</v>
      </c>
      <c r="D368">
        <v>4</v>
      </c>
      <c r="E368">
        <v>0.133719</v>
      </c>
      <c r="F368">
        <v>92.25</v>
      </c>
      <c r="G368">
        <v>53.75</v>
      </c>
      <c r="H368">
        <v>0.58265582655826553</v>
      </c>
      <c r="I368">
        <v>97.674400000000006</v>
      </c>
      <c r="J368">
        <v>2.3256000000000001</v>
      </c>
      <c r="K368">
        <v>91.428600000000003</v>
      </c>
      <c r="L368">
        <v>91</v>
      </c>
      <c r="M368">
        <v>100</v>
      </c>
      <c r="N368">
        <v>1325.37336</v>
      </c>
      <c r="O368">
        <v>208.1</v>
      </c>
      <c r="P368">
        <v>1117</v>
      </c>
      <c r="Q368">
        <v>0.27335999999999999</v>
      </c>
      <c r="R368">
        <v>124.64604300000001</v>
      </c>
      <c r="S368">
        <v>100</v>
      </c>
      <c r="T368">
        <v>0.95</v>
      </c>
      <c r="U368" t="s">
        <v>17</v>
      </c>
    </row>
    <row r="369" spans="1:21" hidden="1" x14ac:dyDescent="0.25">
      <c r="A369" t="s">
        <v>33</v>
      </c>
      <c r="B369">
        <v>400</v>
      </c>
      <c r="C369">
        <v>105</v>
      </c>
      <c r="D369">
        <v>4</v>
      </c>
      <c r="E369">
        <v>0.13417200000000001</v>
      </c>
      <c r="F369">
        <v>92.25</v>
      </c>
      <c r="G369">
        <v>53.75</v>
      </c>
      <c r="H369">
        <v>0.58265582655826553</v>
      </c>
      <c r="I369">
        <v>97.674400000000006</v>
      </c>
      <c r="J369">
        <v>2.3256000000000001</v>
      </c>
      <c r="K369">
        <v>91.428600000000003</v>
      </c>
      <c r="L369">
        <v>91</v>
      </c>
      <c r="M369">
        <v>100</v>
      </c>
      <c r="N369">
        <v>1325.37336</v>
      </c>
      <c r="O369">
        <v>208.1</v>
      </c>
      <c r="P369">
        <v>1117</v>
      </c>
      <c r="Q369">
        <v>0.27335999999999999</v>
      </c>
      <c r="R369">
        <v>124.679546</v>
      </c>
      <c r="S369">
        <v>100</v>
      </c>
      <c r="T369">
        <v>0.95</v>
      </c>
      <c r="U369" t="s">
        <v>17</v>
      </c>
    </row>
    <row r="370" spans="1:21" hidden="1" x14ac:dyDescent="0.25">
      <c r="A370" t="s">
        <v>33</v>
      </c>
      <c r="B370">
        <v>400</v>
      </c>
      <c r="C370">
        <v>105</v>
      </c>
      <c r="D370">
        <v>4</v>
      </c>
      <c r="E370">
        <v>0.135215</v>
      </c>
      <c r="F370">
        <v>92.25</v>
      </c>
      <c r="G370">
        <v>53.75</v>
      </c>
      <c r="H370">
        <v>0.58265582655826553</v>
      </c>
      <c r="I370">
        <v>97.674400000000006</v>
      </c>
      <c r="J370">
        <v>2.3256000000000001</v>
      </c>
      <c r="K370">
        <v>91.428600000000003</v>
      </c>
      <c r="L370">
        <v>91</v>
      </c>
      <c r="M370">
        <v>100</v>
      </c>
      <c r="N370">
        <v>1325.37348</v>
      </c>
      <c r="O370">
        <v>208.1</v>
      </c>
      <c r="P370">
        <v>1117</v>
      </c>
      <c r="Q370">
        <v>0.27348</v>
      </c>
      <c r="R370">
        <v>124.55997600000001</v>
      </c>
      <c r="S370">
        <v>100</v>
      </c>
      <c r="T370">
        <v>0.95</v>
      </c>
      <c r="U370" t="s">
        <v>17</v>
      </c>
    </row>
    <row r="371" spans="1:21" hidden="1" x14ac:dyDescent="0.25">
      <c r="A371" t="s">
        <v>33</v>
      </c>
      <c r="B371">
        <v>400</v>
      </c>
      <c r="C371">
        <v>105</v>
      </c>
      <c r="D371">
        <v>4</v>
      </c>
      <c r="E371">
        <v>0.13527400000000001</v>
      </c>
      <c r="F371">
        <v>92.25</v>
      </c>
      <c r="G371">
        <v>53.75</v>
      </c>
      <c r="H371">
        <v>0.58265582655826553</v>
      </c>
      <c r="I371">
        <v>97.674400000000006</v>
      </c>
      <c r="J371">
        <v>2.3256000000000001</v>
      </c>
      <c r="K371">
        <v>92.381</v>
      </c>
      <c r="L371">
        <v>92</v>
      </c>
      <c r="M371">
        <v>100</v>
      </c>
      <c r="N371">
        <v>1325.3742099999999</v>
      </c>
      <c r="O371">
        <v>208.1</v>
      </c>
      <c r="P371">
        <v>1117</v>
      </c>
      <c r="Q371">
        <v>0.27421000000000001</v>
      </c>
      <c r="R371">
        <v>124.735545</v>
      </c>
      <c r="S371">
        <v>100</v>
      </c>
      <c r="T371">
        <v>0.95</v>
      </c>
      <c r="U371" t="s">
        <v>17</v>
      </c>
    </row>
    <row r="372" spans="1:21" hidden="1" x14ac:dyDescent="0.25">
      <c r="A372" t="s">
        <v>33</v>
      </c>
      <c r="B372">
        <v>400</v>
      </c>
      <c r="C372">
        <v>105</v>
      </c>
      <c r="D372">
        <v>4</v>
      </c>
      <c r="E372">
        <v>0.13584599999999999</v>
      </c>
      <c r="F372">
        <v>92.25</v>
      </c>
      <c r="G372">
        <v>54</v>
      </c>
      <c r="H372">
        <v>0.58536585365853655</v>
      </c>
      <c r="I372">
        <v>97.685199999999995</v>
      </c>
      <c r="J372">
        <v>2.3148</v>
      </c>
      <c r="K372">
        <v>91.428600000000003</v>
      </c>
      <c r="L372">
        <v>91</v>
      </c>
      <c r="M372">
        <v>100</v>
      </c>
      <c r="N372">
        <v>1325.6731199999999</v>
      </c>
      <c r="O372">
        <v>208.1</v>
      </c>
      <c r="P372">
        <v>1117.3</v>
      </c>
      <c r="Q372">
        <v>0.27311999999999997</v>
      </c>
      <c r="R372">
        <v>124.399351</v>
      </c>
      <c r="S372">
        <v>100</v>
      </c>
      <c r="T372">
        <v>0.95</v>
      </c>
      <c r="U372" t="s">
        <v>17</v>
      </c>
    </row>
    <row r="373" spans="1:21" hidden="1" x14ac:dyDescent="0.25">
      <c r="A373" t="s">
        <v>33</v>
      </c>
      <c r="B373">
        <v>400</v>
      </c>
      <c r="C373">
        <v>105</v>
      </c>
      <c r="D373">
        <v>4</v>
      </c>
      <c r="E373">
        <v>0.132384</v>
      </c>
      <c r="F373">
        <v>92.25</v>
      </c>
      <c r="G373">
        <v>54</v>
      </c>
      <c r="H373">
        <v>0.58536585365853655</v>
      </c>
      <c r="I373">
        <v>97.685199999999995</v>
      </c>
      <c r="J373">
        <v>2.3148</v>
      </c>
      <c r="K373">
        <v>93.333299999999994</v>
      </c>
      <c r="L373">
        <v>93</v>
      </c>
      <c r="M373">
        <v>100</v>
      </c>
      <c r="N373">
        <v>1325.67482</v>
      </c>
      <c r="O373">
        <v>208.1</v>
      </c>
      <c r="P373">
        <v>1117.3</v>
      </c>
      <c r="Q373">
        <v>0.27482000000000001</v>
      </c>
      <c r="R373">
        <v>124.600663</v>
      </c>
      <c r="S373">
        <v>100</v>
      </c>
      <c r="T373">
        <v>0.95</v>
      </c>
      <c r="U373" t="s">
        <v>17</v>
      </c>
    </row>
    <row r="374" spans="1:21" hidden="1" x14ac:dyDescent="0.25">
      <c r="A374" t="s">
        <v>33</v>
      </c>
      <c r="B374">
        <v>400</v>
      </c>
      <c r="C374">
        <v>105</v>
      </c>
      <c r="D374">
        <v>4</v>
      </c>
      <c r="E374">
        <v>0.13248599999999999</v>
      </c>
      <c r="F374">
        <v>92.25</v>
      </c>
      <c r="G374">
        <v>53.5</v>
      </c>
      <c r="H374">
        <v>0.57994579945799463</v>
      </c>
      <c r="I374">
        <v>97.663600000000002</v>
      </c>
      <c r="J374">
        <v>2.3363999999999998</v>
      </c>
      <c r="K374">
        <v>90.476200000000006</v>
      </c>
      <c r="L374">
        <v>90</v>
      </c>
      <c r="M374">
        <v>100</v>
      </c>
      <c r="N374">
        <v>1328.8725099999999</v>
      </c>
      <c r="O374">
        <v>208.1</v>
      </c>
      <c r="P374">
        <v>1120.5</v>
      </c>
      <c r="Q374">
        <v>0.27250999999999997</v>
      </c>
      <c r="R374">
        <v>124.808876</v>
      </c>
      <c r="S374">
        <v>100</v>
      </c>
      <c r="T374">
        <v>0.95</v>
      </c>
      <c r="U374" t="s">
        <v>17</v>
      </c>
    </row>
    <row r="375" spans="1:21" hidden="1" x14ac:dyDescent="0.25">
      <c r="A375" t="s">
        <v>33</v>
      </c>
      <c r="B375">
        <v>400</v>
      </c>
      <c r="C375">
        <v>105</v>
      </c>
      <c r="D375">
        <v>4</v>
      </c>
      <c r="E375">
        <v>0.13871900000000001</v>
      </c>
      <c r="F375">
        <v>92.25</v>
      </c>
      <c r="G375">
        <v>53.5</v>
      </c>
      <c r="H375">
        <v>0.57994579945799463</v>
      </c>
      <c r="I375">
        <v>97.663600000000002</v>
      </c>
      <c r="J375">
        <v>2.3363999999999998</v>
      </c>
      <c r="K375">
        <v>90.476200000000006</v>
      </c>
      <c r="L375">
        <v>90</v>
      </c>
      <c r="M375">
        <v>100</v>
      </c>
      <c r="N375">
        <v>1328.8725099999999</v>
      </c>
      <c r="O375">
        <v>208.1</v>
      </c>
      <c r="P375">
        <v>1120.5</v>
      </c>
      <c r="Q375">
        <v>0.27250999999999997</v>
      </c>
      <c r="R375">
        <v>124.778971</v>
      </c>
      <c r="S375">
        <v>100</v>
      </c>
      <c r="T375">
        <v>0.95</v>
      </c>
      <c r="U375" t="s">
        <v>17</v>
      </c>
    </row>
    <row r="376" spans="1:21" hidden="1" x14ac:dyDescent="0.25">
      <c r="A376" t="s">
        <v>33</v>
      </c>
      <c r="B376">
        <v>400</v>
      </c>
      <c r="C376">
        <v>105</v>
      </c>
      <c r="D376">
        <v>4</v>
      </c>
      <c r="E376">
        <v>0.13449800000000001</v>
      </c>
      <c r="F376">
        <v>92.25</v>
      </c>
      <c r="G376">
        <v>53.5</v>
      </c>
      <c r="H376">
        <v>0.57994579945799463</v>
      </c>
      <c r="I376">
        <v>97.663600000000002</v>
      </c>
      <c r="J376">
        <v>2.3363999999999998</v>
      </c>
      <c r="K376">
        <v>91.428600000000003</v>
      </c>
      <c r="L376">
        <v>91</v>
      </c>
      <c r="M376">
        <v>100</v>
      </c>
      <c r="N376">
        <v>1328.87336</v>
      </c>
      <c r="O376">
        <v>208.1</v>
      </c>
      <c r="P376">
        <v>1120.5</v>
      </c>
      <c r="Q376">
        <v>0.27335999999999999</v>
      </c>
      <c r="R376">
        <v>124.869049</v>
      </c>
      <c r="S376">
        <v>100</v>
      </c>
      <c r="T376">
        <v>0.95</v>
      </c>
      <c r="U376" t="s">
        <v>17</v>
      </c>
    </row>
    <row r="377" spans="1:21" hidden="1" x14ac:dyDescent="0.25">
      <c r="A377" t="s">
        <v>33</v>
      </c>
      <c r="B377">
        <v>400</v>
      </c>
      <c r="C377">
        <v>105</v>
      </c>
      <c r="D377">
        <v>4</v>
      </c>
      <c r="E377">
        <v>0.134687</v>
      </c>
      <c r="F377">
        <v>92.25</v>
      </c>
      <c r="G377">
        <v>53.75</v>
      </c>
      <c r="H377">
        <v>0.58265582655826553</v>
      </c>
      <c r="I377">
        <v>97.674400000000006</v>
      </c>
      <c r="J377">
        <v>2.3256000000000001</v>
      </c>
      <c r="K377">
        <v>89.523799999999994</v>
      </c>
      <c r="L377">
        <v>89</v>
      </c>
      <c r="M377">
        <v>100</v>
      </c>
      <c r="N377">
        <v>1329.1714199999999</v>
      </c>
      <c r="O377">
        <v>208.1</v>
      </c>
      <c r="P377">
        <v>1120.8</v>
      </c>
      <c r="Q377">
        <v>0.27141999999999999</v>
      </c>
      <c r="R377">
        <v>124.474103</v>
      </c>
      <c r="S377">
        <v>100</v>
      </c>
      <c r="T377">
        <v>0.95</v>
      </c>
      <c r="U377" t="s">
        <v>17</v>
      </c>
    </row>
    <row r="378" spans="1:21" hidden="1" x14ac:dyDescent="0.25">
      <c r="A378" t="s">
        <v>33</v>
      </c>
      <c r="B378">
        <v>400</v>
      </c>
      <c r="C378">
        <v>105</v>
      </c>
      <c r="D378">
        <v>4</v>
      </c>
      <c r="E378">
        <v>0.13850100000000001</v>
      </c>
      <c r="F378">
        <v>92.25</v>
      </c>
      <c r="G378">
        <v>53.75</v>
      </c>
      <c r="H378">
        <v>0.58265582655826553</v>
      </c>
      <c r="I378">
        <v>97.674400000000006</v>
      </c>
      <c r="J378">
        <v>2.3256000000000001</v>
      </c>
      <c r="K378">
        <v>89.523799999999994</v>
      </c>
      <c r="L378">
        <v>89</v>
      </c>
      <c r="M378">
        <v>100</v>
      </c>
      <c r="N378">
        <v>1329.17166</v>
      </c>
      <c r="O378">
        <v>208.1</v>
      </c>
      <c r="P378">
        <v>1120.8</v>
      </c>
      <c r="Q378">
        <v>0.27166000000000001</v>
      </c>
      <c r="R378">
        <v>124.45075799999999</v>
      </c>
      <c r="S378">
        <v>100</v>
      </c>
      <c r="T378">
        <v>0.95</v>
      </c>
      <c r="U378" t="s">
        <v>17</v>
      </c>
    </row>
    <row r="379" spans="1:21" hidden="1" x14ac:dyDescent="0.25">
      <c r="A379" t="s">
        <v>33</v>
      </c>
      <c r="B379">
        <v>400</v>
      </c>
      <c r="C379">
        <v>105</v>
      </c>
      <c r="D379">
        <v>4</v>
      </c>
      <c r="E379">
        <v>0.13453399999999999</v>
      </c>
      <c r="F379">
        <v>92.25</v>
      </c>
      <c r="G379">
        <v>53.75</v>
      </c>
      <c r="H379">
        <v>0.58265582655826553</v>
      </c>
      <c r="I379">
        <v>97.674400000000006</v>
      </c>
      <c r="J379">
        <v>2.3256000000000001</v>
      </c>
      <c r="K379">
        <v>89.523799999999994</v>
      </c>
      <c r="L379">
        <v>89</v>
      </c>
      <c r="M379">
        <v>100</v>
      </c>
      <c r="N379">
        <v>1329.17166</v>
      </c>
      <c r="O379">
        <v>208.1</v>
      </c>
      <c r="P379">
        <v>1120.8</v>
      </c>
      <c r="Q379">
        <v>0.27166000000000001</v>
      </c>
      <c r="R379">
        <v>124.450866</v>
      </c>
      <c r="S379">
        <v>100</v>
      </c>
      <c r="T379">
        <v>0.95</v>
      </c>
      <c r="U379" t="s">
        <v>17</v>
      </c>
    </row>
    <row r="380" spans="1:21" hidden="1" x14ac:dyDescent="0.25">
      <c r="A380" t="s">
        <v>33</v>
      </c>
      <c r="B380">
        <v>400</v>
      </c>
      <c r="C380">
        <v>105</v>
      </c>
      <c r="D380">
        <v>4</v>
      </c>
      <c r="E380">
        <v>0.13326099999999999</v>
      </c>
      <c r="F380">
        <v>92.25</v>
      </c>
      <c r="G380">
        <v>53.75</v>
      </c>
      <c r="H380">
        <v>0.58265582655826553</v>
      </c>
      <c r="I380">
        <v>97.674400000000006</v>
      </c>
      <c r="J380">
        <v>2.3256000000000001</v>
      </c>
      <c r="K380">
        <v>90.476200000000006</v>
      </c>
      <c r="L380">
        <v>90</v>
      </c>
      <c r="M380">
        <v>100</v>
      </c>
      <c r="N380">
        <v>1329.1725100000001</v>
      </c>
      <c r="O380">
        <v>208.1</v>
      </c>
      <c r="P380">
        <v>1120.8</v>
      </c>
      <c r="Q380">
        <v>0.27250999999999997</v>
      </c>
      <c r="R380">
        <v>124.560253</v>
      </c>
      <c r="S380">
        <v>100</v>
      </c>
      <c r="T380">
        <v>0.95</v>
      </c>
      <c r="U380" t="s">
        <v>17</v>
      </c>
    </row>
    <row r="381" spans="1:21" hidden="1" x14ac:dyDescent="0.25">
      <c r="A381" t="s">
        <v>33</v>
      </c>
      <c r="B381">
        <v>400</v>
      </c>
      <c r="C381">
        <v>105</v>
      </c>
      <c r="D381">
        <v>4</v>
      </c>
      <c r="E381">
        <v>0.13395000000000001</v>
      </c>
      <c r="F381">
        <v>92.25</v>
      </c>
      <c r="G381">
        <v>53.75</v>
      </c>
      <c r="H381">
        <v>0.58265582655826553</v>
      </c>
      <c r="I381">
        <v>97.674400000000006</v>
      </c>
      <c r="J381">
        <v>2.3256000000000001</v>
      </c>
      <c r="K381">
        <v>90.476200000000006</v>
      </c>
      <c r="L381">
        <v>90</v>
      </c>
      <c r="M381">
        <v>100</v>
      </c>
      <c r="N381">
        <v>1329.1725100000001</v>
      </c>
      <c r="O381">
        <v>208.1</v>
      </c>
      <c r="P381">
        <v>1120.8</v>
      </c>
      <c r="Q381">
        <v>0.27250999999999997</v>
      </c>
      <c r="R381">
        <v>124.53714100000001</v>
      </c>
      <c r="S381">
        <v>100</v>
      </c>
      <c r="T381">
        <v>0.95</v>
      </c>
      <c r="U381" t="s">
        <v>17</v>
      </c>
    </row>
    <row r="382" spans="1:21" hidden="1" x14ac:dyDescent="0.25">
      <c r="A382" t="s">
        <v>33</v>
      </c>
      <c r="B382">
        <v>400</v>
      </c>
      <c r="C382">
        <v>105</v>
      </c>
      <c r="D382">
        <v>4</v>
      </c>
      <c r="E382">
        <v>0.13336100000000001</v>
      </c>
      <c r="F382">
        <v>92.25</v>
      </c>
      <c r="G382">
        <v>53.75</v>
      </c>
      <c r="H382">
        <v>0.58265582655826553</v>
      </c>
      <c r="I382">
        <v>97.674400000000006</v>
      </c>
      <c r="J382">
        <v>2.3256000000000001</v>
      </c>
      <c r="K382">
        <v>90.476200000000006</v>
      </c>
      <c r="L382">
        <v>90</v>
      </c>
      <c r="M382">
        <v>100</v>
      </c>
      <c r="N382">
        <v>1329.1725100000001</v>
      </c>
      <c r="O382">
        <v>208.1</v>
      </c>
      <c r="P382">
        <v>1120.8</v>
      </c>
      <c r="Q382">
        <v>0.27250999999999997</v>
      </c>
      <c r="R382">
        <v>124.536919</v>
      </c>
      <c r="S382">
        <v>100</v>
      </c>
      <c r="T382">
        <v>0.95</v>
      </c>
      <c r="U382" t="s">
        <v>17</v>
      </c>
    </row>
    <row r="383" spans="1:21" hidden="1" x14ac:dyDescent="0.25">
      <c r="A383" t="s">
        <v>33</v>
      </c>
      <c r="B383">
        <v>400</v>
      </c>
      <c r="C383">
        <v>105</v>
      </c>
      <c r="D383">
        <v>4</v>
      </c>
      <c r="E383">
        <v>0.13492199999999999</v>
      </c>
      <c r="F383">
        <v>92.25</v>
      </c>
      <c r="G383">
        <v>53.75</v>
      </c>
      <c r="H383">
        <v>0.58265582655826553</v>
      </c>
      <c r="I383">
        <v>97.674400000000006</v>
      </c>
      <c r="J383">
        <v>2.3256000000000001</v>
      </c>
      <c r="K383">
        <v>90.476200000000006</v>
      </c>
      <c r="L383">
        <v>90</v>
      </c>
      <c r="M383">
        <v>100</v>
      </c>
      <c r="N383">
        <v>1329.1725100000001</v>
      </c>
      <c r="O383">
        <v>208.1</v>
      </c>
      <c r="P383">
        <v>1120.8</v>
      </c>
      <c r="Q383">
        <v>0.27250999999999997</v>
      </c>
      <c r="R383">
        <v>124.563672</v>
      </c>
      <c r="S383">
        <v>100</v>
      </c>
      <c r="T383">
        <v>0.95</v>
      </c>
      <c r="U383" t="s">
        <v>17</v>
      </c>
    </row>
    <row r="384" spans="1:21" hidden="1" x14ac:dyDescent="0.25">
      <c r="A384" t="s">
        <v>33</v>
      </c>
      <c r="B384">
        <v>400</v>
      </c>
      <c r="C384">
        <v>105</v>
      </c>
      <c r="D384">
        <v>4</v>
      </c>
      <c r="E384">
        <v>0.13415299999999999</v>
      </c>
      <c r="F384">
        <v>92.25</v>
      </c>
      <c r="G384">
        <v>53.75</v>
      </c>
      <c r="H384">
        <v>0.58265582655826553</v>
      </c>
      <c r="I384">
        <v>97.674400000000006</v>
      </c>
      <c r="J384">
        <v>2.3256000000000001</v>
      </c>
      <c r="K384">
        <v>91.428600000000003</v>
      </c>
      <c r="L384">
        <v>91</v>
      </c>
      <c r="M384">
        <v>100</v>
      </c>
      <c r="N384">
        <v>1329.1731199999999</v>
      </c>
      <c r="O384">
        <v>208.1</v>
      </c>
      <c r="P384">
        <v>1120.8</v>
      </c>
      <c r="Q384">
        <v>0.27311999999999997</v>
      </c>
      <c r="R384">
        <v>124.64643100000001</v>
      </c>
      <c r="S384">
        <v>100</v>
      </c>
      <c r="T384">
        <v>0.95</v>
      </c>
      <c r="U384" t="s">
        <v>17</v>
      </c>
    </row>
    <row r="385" spans="1:21" hidden="1" x14ac:dyDescent="0.25">
      <c r="A385" t="s">
        <v>33</v>
      </c>
      <c r="B385">
        <v>400</v>
      </c>
      <c r="C385">
        <v>105</v>
      </c>
      <c r="D385">
        <v>4</v>
      </c>
      <c r="E385">
        <v>0.13611000000000001</v>
      </c>
      <c r="F385">
        <v>92.25</v>
      </c>
      <c r="G385">
        <v>53.75</v>
      </c>
      <c r="H385">
        <v>0.58265582655826553</v>
      </c>
      <c r="I385">
        <v>97.674400000000006</v>
      </c>
      <c r="J385">
        <v>2.3256000000000001</v>
      </c>
      <c r="K385">
        <v>91.428600000000003</v>
      </c>
      <c r="L385">
        <v>91</v>
      </c>
      <c r="M385">
        <v>100</v>
      </c>
      <c r="N385">
        <v>1329.1731199999999</v>
      </c>
      <c r="O385">
        <v>208.1</v>
      </c>
      <c r="P385">
        <v>1120.8</v>
      </c>
      <c r="Q385">
        <v>0.27311999999999997</v>
      </c>
      <c r="R385">
        <v>124.646367</v>
      </c>
      <c r="S385">
        <v>100</v>
      </c>
      <c r="T385">
        <v>0.95</v>
      </c>
      <c r="U385" t="s">
        <v>17</v>
      </c>
    </row>
    <row r="386" spans="1:21" hidden="1" x14ac:dyDescent="0.25">
      <c r="A386" t="s">
        <v>33</v>
      </c>
      <c r="B386">
        <v>400</v>
      </c>
      <c r="C386">
        <v>105</v>
      </c>
      <c r="D386">
        <v>4</v>
      </c>
      <c r="E386">
        <v>0.133273</v>
      </c>
      <c r="F386">
        <v>92.25</v>
      </c>
      <c r="G386">
        <v>53.75</v>
      </c>
      <c r="H386">
        <v>0.58265582655826553</v>
      </c>
      <c r="I386">
        <v>97.674400000000006</v>
      </c>
      <c r="J386">
        <v>2.3256000000000001</v>
      </c>
      <c r="K386">
        <v>91.428600000000003</v>
      </c>
      <c r="L386">
        <v>91</v>
      </c>
      <c r="M386">
        <v>100</v>
      </c>
      <c r="N386">
        <v>1329.1731199999999</v>
      </c>
      <c r="O386">
        <v>208.1</v>
      </c>
      <c r="P386">
        <v>1120.8</v>
      </c>
      <c r="Q386">
        <v>0.27311999999999997</v>
      </c>
      <c r="R386">
        <v>124.646439</v>
      </c>
      <c r="S386">
        <v>100</v>
      </c>
      <c r="T386">
        <v>0.95</v>
      </c>
      <c r="U386" t="s">
        <v>17</v>
      </c>
    </row>
    <row r="387" spans="1:21" hidden="1" x14ac:dyDescent="0.25">
      <c r="A387" t="s">
        <v>33</v>
      </c>
      <c r="B387">
        <v>400</v>
      </c>
      <c r="C387">
        <v>105</v>
      </c>
      <c r="D387">
        <v>4</v>
      </c>
      <c r="E387">
        <v>0.13378399999999999</v>
      </c>
      <c r="F387">
        <v>92.25</v>
      </c>
      <c r="G387">
        <v>53.75</v>
      </c>
      <c r="H387">
        <v>0.58265582655826553</v>
      </c>
      <c r="I387">
        <v>97.674400000000006</v>
      </c>
      <c r="J387">
        <v>2.3256000000000001</v>
      </c>
      <c r="K387">
        <v>91.428600000000003</v>
      </c>
      <c r="L387">
        <v>91</v>
      </c>
      <c r="M387">
        <v>100</v>
      </c>
      <c r="N387">
        <v>1329.1731199999999</v>
      </c>
      <c r="O387">
        <v>208.1</v>
      </c>
      <c r="P387">
        <v>1120.8</v>
      </c>
      <c r="Q387">
        <v>0.27311999999999997</v>
      </c>
      <c r="R387">
        <v>124.672955</v>
      </c>
      <c r="S387">
        <v>100</v>
      </c>
      <c r="T387">
        <v>0.95</v>
      </c>
      <c r="U387" t="s">
        <v>17</v>
      </c>
    </row>
    <row r="388" spans="1:21" hidden="1" x14ac:dyDescent="0.25">
      <c r="A388" t="s">
        <v>33</v>
      </c>
      <c r="B388">
        <v>400</v>
      </c>
      <c r="C388">
        <v>105</v>
      </c>
      <c r="D388">
        <v>4</v>
      </c>
      <c r="E388">
        <v>0.13233200000000001</v>
      </c>
      <c r="F388">
        <v>92.25</v>
      </c>
      <c r="G388">
        <v>53.75</v>
      </c>
      <c r="H388">
        <v>0.58265582655826553</v>
      </c>
      <c r="I388">
        <v>97.674400000000006</v>
      </c>
      <c r="J388">
        <v>2.3256000000000001</v>
      </c>
      <c r="K388">
        <v>91.428600000000003</v>
      </c>
      <c r="L388">
        <v>91</v>
      </c>
      <c r="M388">
        <v>100</v>
      </c>
      <c r="N388">
        <v>1329.1731199999999</v>
      </c>
      <c r="O388">
        <v>208.1</v>
      </c>
      <c r="P388">
        <v>1120.8</v>
      </c>
      <c r="Q388">
        <v>0.27311999999999997</v>
      </c>
      <c r="R388">
        <v>124.646353</v>
      </c>
      <c r="S388">
        <v>100</v>
      </c>
      <c r="T388">
        <v>0.95</v>
      </c>
      <c r="U388" t="s">
        <v>17</v>
      </c>
    </row>
    <row r="389" spans="1:21" hidden="1" x14ac:dyDescent="0.25">
      <c r="A389" t="s">
        <v>33</v>
      </c>
      <c r="B389">
        <v>400</v>
      </c>
      <c r="C389">
        <v>105</v>
      </c>
      <c r="D389">
        <v>4</v>
      </c>
      <c r="E389">
        <v>0.13442599999999999</v>
      </c>
      <c r="F389">
        <v>92.25</v>
      </c>
      <c r="G389">
        <v>53.75</v>
      </c>
      <c r="H389">
        <v>0.58265582655826553</v>
      </c>
      <c r="I389">
        <v>97.674400000000006</v>
      </c>
      <c r="J389">
        <v>2.3256000000000001</v>
      </c>
      <c r="K389">
        <v>91.428600000000003</v>
      </c>
      <c r="L389">
        <v>91</v>
      </c>
      <c r="M389">
        <v>100</v>
      </c>
      <c r="N389">
        <v>1329.1731199999999</v>
      </c>
      <c r="O389">
        <v>208.1</v>
      </c>
      <c r="P389">
        <v>1120.8</v>
      </c>
      <c r="Q389">
        <v>0.27311999999999997</v>
      </c>
      <c r="R389">
        <v>124.61312700000001</v>
      </c>
      <c r="S389">
        <v>100</v>
      </c>
      <c r="T389">
        <v>0.95</v>
      </c>
      <c r="U389" t="s">
        <v>17</v>
      </c>
    </row>
    <row r="390" spans="1:21" hidden="1" x14ac:dyDescent="0.25">
      <c r="A390" t="s">
        <v>33</v>
      </c>
      <c r="B390">
        <v>400</v>
      </c>
      <c r="C390">
        <v>105</v>
      </c>
      <c r="D390">
        <v>4</v>
      </c>
      <c r="E390">
        <v>0.133437</v>
      </c>
      <c r="F390">
        <v>92.25</v>
      </c>
      <c r="G390">
        <v>53.75</v>
      </c>
      <c r="H390">
        <v>0.58265582655826553</v>
      </c>
      <c r="I390">
        <v>97.674400000000006</v>
      </c>
      <c r="J390">
        <v>2.3256000000000001</v>
      </c>
      <c r="K390">
        <v>91.428600000000003</v>
      </c>
      <c r="L390">
        <v>91</v>
      </c>
      <c r="M390">
        <v>100</v>
      </c>
      <c r="N390">
        <v>1329.1731199999999</v>
      </c>
      <c r="O390">
        <v>208.1</v>
      </c>
      <c r="P390">
        <v>1120.8</v>
      </c>
      <c r="Q390">
        <v>0.27311999999999997</v>
      </c>
      <c r="R390">
        <v>124.64639200000001</v>
      </c>
      <c r="S390">
        <v>100</v>
      </c>
      <c r="T390">
        <v>0.95</v>
      </c>
      <c r="U390" t="s">
        <v>17</v>
      </c>
    </row>
    <row r="391" spans="1:21" hidden="1" x14ac:dyDescent="0.25">
      <c r="A391" t="s">
        <v>33</v>
      </c>
      <c r="B391">
        <v>400</v>
      </c>
      <c r="C391">
        <v>105</v>
      </c>
      <c r="D391">
        <v>4</v>
      </c>
      <c r="E391">
        <v>0.135575</v>
      </c>
      <c r="F391">
        <v>92.25</v>
      </c>
      <c r="G391">
        <v>53.75</v>
      </c>
      <c r="H391">
        <v>0.58265582655826553</v>
      </c>
      <c r="I391">
        <v>97.674400000000006</v>
      </c>
      <c r="J391">
        <v>2.3256000000000001</v>
      </c>
      <c r="K391">
        <v>91.428600000000003</v>
      </c>
      <c r="L391">
        <v>91</v>
      </c>
      <c r="M391">
        <v>100</v>
      </c>
      <c r="N391">
        <v>1329.1731199999999</v>
      </c>
      <c r="O391">
        <v>208.1</v>
      </c>
      <c r="P391">
        <v>1120.8</v>
      </c>
      <c r="Q391">
        <v>0.27311999999999997</v>
      </c>
      <c r="R391">
        <v>124.64299</v>
      </c>
      <c r="S391">
        <v>100</v>
      </c>
      <c r="T391">
        <v>0.95</v>
      </c>
      <c r="U391" t="s">
        <v>17</v>
      </c>
    </row>
    <row r="392" spans="1:21" hidden="1" x14ac:dyDescent="0.25">
      <c r="A392" t="s">
        <v>33</v>
      </c>
      <c r="B392">
        <v>400</v>
      </c>
      <c r="C392">
        <v>105</v>
      </c>
      <c r="D392">
        <v>4</v>
      </c>
      <c r="E392">
        <v>0.133936</v>
      </c>
      <c r="F392">
        <v>92.25</v>
      </c>
      <c r="G392">
        <v>53.75</v>
      </c>
      <c r="H392">
        <v>0.58265582655826553</v>
      </c>
      <c r="I392">
        <v>97.674400000000006</v>
      </c>
      <c r="J392">
        <v>2.3256000000000001</v>
      </c>
      <c r="K392">
        <v>91.428600000000003</v>
      </c>
      <c r="L392">
        <v>91</v>
      </c>
      <c r="M392">
        <v>100</v>
      </c>
      <c r="N392">
        <v>1329.17336</v>
      </c>
      <c r="O392">
        <v>208.1</v>
      </c>
      <c r="P392">
        <v>1120.8</v>
      </c>
      <c r="Q392">
        <v>0.27335999999999999</v>
      </c>
      <c r="R392">
        <v>124.59322899999999</v>
      </c>
      <c r="S392">
        <v>100</v>
      </c>
      <c r="T392">
        <v>0.95</v>
      </c>
      <c r="U392" t="s">
        <v>17</v>
      </c>
    </row>
    <row r="393" spans="1:21" hidden="1" x14ac:dyDescent="0.25">
      <c r="A393" t="s">
        <v>33</v>
      </c>
      <c r="B393">
        <v>400</v>
      </c>
      <c r="C393">
        <v>105</v>
      </c>
      <c r="D393">
        <v>4</v>
      </c>
      <c r="E393">
        <v>0.13324800000000001</v>
      </c>
      <c r="F393">
        <v>92.25</v>
      </c>
      <c r="G393">
        <v>53.75</v>
      </c>
      <c r="H393">
        <v>0.58265582655826553</v>
      </c>
      <c r="I393">
        <v>97.674400000000006</v>
      </c>
      <c r="J393">
        <v>2.3256000000000001</v>
      </c>
      <c r="K393">
        <v>91.428600000000003</v>
      </c>
      <c r="L393">
        <v>91</v>
      </c>
      <c r="M393">
        <v>100</v>
      </c>
      <c r="N393">
        <v>1329.17336</v>
      </c>
      <c r="O393">
        <v>208.1</v>
      </c>
      <c r="P393">
        <v>1120.8</v>
      </c>
      <c r="Q393">
        <v>0.27335999999999999</v>
      </c>
      <c r="R393">
        <v>124.646325</v>
      </c>
      <c r="S393">
        <v>100</v>
      </c>
      <c r="T393">
        <v>0.95</v>
      </c>
      <c r="U393" t="s">
        <v>17</v>
      </c>
    </row>
    <row r="394" spans="1:21" hidden="1" x14ac:dyDescent="0.25">
      <c r="A394" t="s">
        <v>33</v>
      </c>
      <c r="B394">
        <v>400</v>
      </c>
      <c r="C394">
        <v>105</v>
      </c>
      <c r="D394">
        <v>4</v>
      </c>
      <c r="E394">
        <v>0.13337099999999999</v>
      </c>
      <c r="F394">
        <v>92.25</v>
      </c>
      <c r="G394">
        <v>53.75</v>
      </c>
      <c r="H394">
        <v>0.58265582655826553</v>
      </c>
      <c r="I394">
        <v>97.674400000000006</v>
      </c>
      <c r="J394">
        <v>2.3256000000000001</v>
      </c>
      <c r="K394">
        <v>91.428600000000003</v>
      </c>
      <c r="L394">
        <v>91</v>
      </c>
      <c r="M394">
        <v>100</v>
      </c>
      <c r="N394">
        <v>1329.17336</v>
      </c>
      <c r="O394">
        <v>208.1</v>
      </c>
      <c r="P394">
        <v>1120.8</v>
      </c>
      <c r="Q394">
        <v>0.27335999999999999</v>
      </c>
      <c r="R394">
        <v>124.623362</v>
      </c>
      <c r="S394">
        <v>100</v>
      </c>
      <c r="T394">
        <v>0.95</v>
      </c>
      <c r="U394" t="s">
        <v>17</v>
      </c>
    </row>
    <row r="395" spans="1:21" hidden="1" x14ac:dyDescent="0.25">
      <c r="A395" t="s">
        <v>33</v>
      </c>
      <c r="B395">
        <v>400</v>
      </c>
      <c r="C395">
        <v>105</v>
      </c>
      <c r="D395">
        <v>4</v>
      </c>
      <c r="E395">
        <v>0.13434399999999999</v>
      </c>
      <c r="F395">
        <v>92.25</v>
      </c>
      <c r="G395">
        <v>53.75</v>
      </c>
      <c r="H395">
        <v>0.58265582655826553</v>
      </c>
      <c r="I395">
        <v>97.674400000000006</v>
      </c>
      <c r="J395">
        <v>2.3256000000000001</v>
      </c>
      <c r="K395">
        <v>92.381</v>
      </c>
      <c r="L395">
        <v>92</v>
      </c>
      <c r="M395">
        <v>100</v>
      </c>
      <c r="N395">
        <v>1329.1739700000001</v>
      </c>
      <c r="O395">
        <v>208.1</v>
      </c>
      <c r="P395">
        <v>1120.8</v>
      </c>
      <c r="Q395">
        <v>0.27396999999999999</v>
      </c>
      <c r="R395">
        <v>124.73590900000001</v>
      </c>
      <c r="S395">
        <v>100</v>
      </c>
      <c r="T395">
        <v>0.95</v>
      </c>
      <c r="U395" t="s">
        <v>17</v>
      </c>
    </row>
    <row r="396" spans="1:21" hidden="1" x14ac:dyDescent="0.25">
      <c r="A396" t="s">
        <v>33</v>
      </c>
      <c r="B396">
        <v>400</v>
      </c>
      <c r="C396">
        <v>105</v>
      </c>
      <c r="D396">
        <v>4</v>
      </c>
      <c r="E396">
        <v>0.13616400000000001</v>
      </c>
      <c r="F396">
        <v>92.25</v>
      </c>
      <c r="G396">
        <v>53.75</v>
      </c>
      <c r="H396">
        <v>0.58265582655826553</v>
      </c>
      <c r="I396">
        <v>97.674400000000006</v>
      </c>
      <c r="J396">
        <v>2.3256000000000001</v>
      </c>
      <c r="K396">
        <v>92.381</v>
      </c>
      <c r="L396">
        <v>92</v>
      </c>
      <c r="M396">
        <v>100</v>
      </c>
      <c r="N396">
        <v>1329.1739700000001</v>
      </c>
      <c r="O396">
        <v>208.1</v>
      </c>
      <c r="P396">
        <v>1120.8</v>
      </c>
      <c r="Q396">
        <v>0.27396999999999999</v>
      </c>
      <c r="R396">
        <v>124.735832</v>
      </c>
      <c r="S396">
        <v>100</v>
      </c>
      <c r="T396">
        <v>0.95</v>
      </c>
      <c r="U396" t="s">
        <v>17</v>
      </c>
    </row>
    <row r="397" spans="1:21" hidden="1" x14ac:dyDescent="0.25">
      <c r="A397" t="s">
        <v>33</v>
      </c>
      <c r="B397">
        <v>400</v>
      </c>
      <c r="C397">
        <v>105</v>
      </c>
      <c r="D397">
        <v>4</v>
      </c>
      <c r="E397">
        <v>0.134407</v>
      </c>
      <c r="F397">
        <v>92.25</v>
      </c>
      <c r="G397">
        <v>53.75</v>
      </c>
      <c r="H397">
        <v>0.58265582655826553</v>
      </c>
      <c r="I397">
        <v>97.674400000000006</v>
      </c>
      <c r="J397">
        <v>2.3256000000000001</v>
      </c>
      <c r="K397">
        <v>92.381</v>
      </c>
      <c r="L397">
        <v>92</v>
      </c>
      <c r="M397">
        <v>100</v>
      </c>
      <c r="N397">
        <v>1329.1742099999999</v>
      </c>
      <c r="O397">
        <v>208.1</v>
      </c>
      <c r="P397">
        <v>1120.8</v>
      </c>
      <c r="Q397">
        <v>0.27421000000000001</v>
      </c>
      <c r="R397">
        <v>124.70283499999999</v>
      </c>
      <c r="S397">
        <v>100</v>
      </c>
      <c r="T397">
        <v>0.95</v>
      </c>
      <c r="U397" t="s">
        <v>17</v>
      </c>
    </row>
    <row r="398" spans="1:21" hidden="1" x14ac:dyDescent="0.25">
      <c r="A398" t="s">
        <v>33</v>
      </c>
      <c r="B398">
        <v>400</v>
      </c>
      <c r="C398">
        <v>105</v>
      </c>
      <c r="D398">
        <v>4</v>
      </c>
      <c r="E398">
        <v>0.13497999999999999</v>
      </c>
      <c r="F398">
        <v>92.25</v>
      </c>
      <c r="G398">
        <v>53.75</v>
      </c>
      <c r="H398">
        <v>0.58265582655826553</v>
      </c>
      <c r="I398">
        <v>97.674400000000006</v>
      </c>
      <c r="J398">
        <v>2.3256000000000001</v>
      </c>
      <c r="K398">
        <v>92.381</v>
      </c>
      <c r="L398">
        <v>92</v>
      </c>
      <c r="M398">
        <v>100</v>
      </c>
      <c r="N398">
        <v>1329.1742099999999</v>
      </c>
      <c r="O398">
        <v>208.1</v>
      </c>
      <c r="P398">
        <v>1120.8</v>
      </c>
      <c r="Q398">
        <v>0.27421000000000001</v>
      </c>
      <c r="R398">
        <v>124.676044</v>
      </c>
      <c r="S398">
        <v>100</v>
      </c>
      <c r="T398">
        <v>0.95</v>
      </c>
      <c r="U398" t="s">
        <v>17</v>
      </c>
    </row>
    <row r="399" spans="1:21" hidden="1" x14ac:dyDescent="0.25">
      <c r="A399" t="s">
        <v>33</v>
      </c>
      <c r="B399">
        <v>400</v>
      </c>
      <c r="C399">
        <v>105</v>
      </c>
      <c r="D399">
        <v>4</v>
      </c>
      <c r="E399">
        <v>0.13255800000000001</v>
      </c>
      <c r="F399">
        <v>92.25</v>
      </c>
      <c r="G399">
        <v>53.5</v>
      </c>
      <c r="H399">
        <v>0.57994579945799463</v>
      </c>
      <c r="I399">
        <v>97.663600000000002</v>
      </c>
      <c r="J399">
        <v>2.3363999999999998</v>
      </c>
      <c r="K399">
        <v>89.523799999999994</v>
      </c>
      <c r="L399">
        <v>89</v>
      </c>
      <c r="M399">
        <v>100</v>
      </c>
      <c r="N399">
        <v>1332.6714199999999</v>
      </c>
      <c r="O399">
        <v>208.1</v>
      </c>
      <c r="P399">
        <v>1124.3</v>
      </c>
      <c r="Q399">
        <v>0.27141999999999999</v>
      </c>
      <c r="R399">
        <v>124.746118</v>
      </c>
      <c r="S399">
        <v>100</v>
      </c>
      <c r="T399">
        <v>0.95</v>
      </c>
      <c r="U399" t="s">
        <v>17</v>
      </c>
    </row>
    <row r="400" spans="1:21" hidden="1" x14ac:dyDescent="0.25">
      <c r="A400" t="s">
        <v>33</v>
      </c>
      <c r="B400">
        <v>400</v>
      </c>
      <c r="C400">
        <v>105</v>
      </c>
      <c r="D400">
        <v>4</v>
      </c>
      <c r="E400">
        <v>0.13552</v>
      </c>
      <c r="F400">
        <v>92.25</v>
      </c>
      <c r="G400">
        <v>53.5</v>
      </c>
      <c r="H400">
        <v>0.57994579945799463</v>
      </c>
      <c r="I400">
        <v>97.663600000000002</v>
      </c>
      <c r="J400">
        <v>2.3363999999999998</v>
      </c>
      <c r="K400">
        <v>89.523799999999994</v>
      </c>
      <c r="L400">
        <v>89</v>
      </c>
      <c r="M400">
        <v>100</v>
      </c>
      <c r="N400">
        <v>1332.6714199999999</v>
      </c>
      <c r="O400">
        <v>208.1</v>
      </c>
      <c r="P400">
        <v>1124.3</v>
      </c>
      <c r="Q400">
        <v>0.27141999999999999</v>
      </c>
      <c r="R400">
        <v>124.749375</v>
      </c>
      <c r="S400">
        <v>100</v>
      </c>
      <c r="T400">
        <v>0.95</v>
      </c>
      <c r="U400" t="s">
        <v>17</v>
      </c>
    </row>
    <row r="401" spans="1:21" hidden="1" x14ac:dyDescent="0.25">
      <c r="A401" t="s">
        <v>33</v>
      </c>
      <c r="B401">
        <v>400</v>
      </c>
      <c r="C401">
        <v>105</v>
      </c>
      <c r="D401">
        <v>4</v>
      </c>
      <c r="E401">
        <v>0.13233300000000001</v>
      </c>
      <c r="F401">
        <v>92.25</v>
      </c>
      <c r="G401">
        <v>53.5</v>
      </c>
      <c r="H401">
        <v>0.57994579945799463</v>
      </c>
      <c r="I401">
        <v>97.663600000000002</v>
      </c>
      <c r="J401">
        <v>2.3363999999999998</v>
      </c>
      <c r="K401">
        <v>89.523799999999994</v>
      </c>
      <c r="L401">
        <v>89</v>
      </c>
      <c r="M401">
        <v>100</v>
      </c>
      <c r="N401">
        <v>1332.6714199999999</v>
      </c>
      <c r="O401">
        <v>208.1</v>
      </c>
      <c r="P401">
        <v>1124.3</v>
      </c>
      <c r="Q401">
        <v>0.27141999999999999</v>
      </c>
      <c r="R401">
        <v>124.722835</v>
      </c>
      <c r="S401">
        <v>100</v>
      </c>
      <c r="T401">
        <v>0.95</v>
      </c>
      <c r="U401" t="s">
        <v>17</v>
      </c>
    </row>
    <row r="402" spans="1:21" hidden="1" x14ac:dyDescent="0.25">
      <c r="A402" t="s">
        <v>33</v>
      </c>
      <c r="B402">
        <v>400</v>
      </c>
      <c r="C402">
        <v>105</v>
      </c>
      <c r="D402">
        <v>4</v>
      </c>
      <c r="E402">
        <v>0.13453899999999999</v>
      </c>
      <c r="F402">
        <v>92.25</v>
      </c>
      <c r="G402">
        <v>53.5</v>
      </c>
      <c r="H402">
        <v>0.57994579945799463</v>
      </c>
      <c r="I402">
        <v>97.663600000000002</v>
      </c>
      <c r="J402">
        <v>2.3363999999999998</v>
      </c>
      <c r="K402">
        <v>89.523799999999994</v>
      </c>
      <c r="L402">
        <v>89</v>
      </c>
      <c r="M402">
        <v>100</v>
      </c>
      <c r="N402">
        <v>1332.6714199999999</v>
      </c>
      <c r="O402">
        <v>208.1</v>
      </c>
      <c r="P402">
        <v>1124.3</v>
      </c>
      <c r="Q402">
        <v>0.27141999999999999</v>
      </c>
      <c r="R402">
        <v>124.71611900000001</v>
      </c>
      <c r="S402">
        <v>100</v>
      </c>
      <c r="T402">
        <v>0.95</v>
      </c>
      <c r="U402" t="s">
        <v>17</v>
      </c>
    </row>
    <row r="403" spans="1:21" hidden="1" x14ac:dyDescent="0.25">
      <c r="A403" t="s">
        <v>33</v>
      </c>
      <c r="B403">
        <v>400</v>
      </c>
      <c r="C403">
        <v>105</v>
      </c>
      <c r="D403">
        <v>4</v>
      </c>
      <c r="E403">
        <v>0.13402700000000001</v>
      </c>
      <c r="F403">
        <v>92.25</v>
      </c>
      <c r="G403">
        <v>53.5</v>
      </c>
      <c r="H403">
        <v>0.57994579945799463</v>
      </c>
      <c r="I403">
        <v>97.663600000000002</v>
      </c>
      <c r="J403">
        <v>2.3363999999999998</v>
      </c>
      <c r="K403">
        <v>89.523799999999994</v>
      </c>
      <c r="L403">
        <v>89</v>
      </c>
      <c r="M403">
        <v>100</v>
      </c>
      <c r="N403">
        <v>1332.67166</v>
      </c>
      <c r="O403">
        <v>208.1</v>
      </c>
      <c r="P403">
        <v>1124.3</v>
      </c>
      <c r="Q403">
        <v>0.27166000000000001</v>
      </c>
      <c r="R403">
        <v>124.726173</v>
      </c>
      <c r="S403">
        <v>100</v>
      </c>
      <c r="T403">
        <v>0.95</v>
      </c>
      <c r="U403" t="s">
        <v>17</v>
      </c>
    </row>
    <row r="404" spans="1:21" hidden="1" x14ac:dyDescent="0.25">
      <c r="A404" t="s">
        <v>33</v>
      </c>
      <c r="B404">
        <v>400</v>
      </c>
      <c r="C404">
        <v>105</v>
      </c>
      <c r="D404">
        <v>4</v>
      </c>
      <c r="E404">
        <v>0.133964</v>
      </c>
      <c r="F404">
        <v>92.25</v>
      </c>
      <c r="G404">
        <v>53.5</v>
      </c>
      <c r="H404">
        <v>0.57994579945799463</v>
      </c>
      <c r="I404">
        <v>97.663600000000002</v>
      </c>
      <c r="J404">
        <v>2.3363999999999998</v>
      </c>
      <c r="K404">
        <v>89.523799999999994</v>
      </c>
      <c r="L404">
        <v>89</v>
      </c>
      <c r="M404">
        <v>100</v>
      </c>
      <c r="N404">
        <v>1332.67166</v>
      </c>
      <c r="O404">
        <v>208.1</v>
      </c>
      <c r="P404">
        <v>1124.3</v>
      </c>
      <c r="Q404">
        <v>0.27166000000000001</v>
      </c>
      <c r="R404">
        <v>124.692611</v>
      </c>
      <c r="S404">
        <v>100</v>
      </c>
      <c r="T404">
        <v>0.95</v>
      </c>
      <c r="U404" t="s">
        <v>17</v>
      </c>
    </row>
    <row r="405" spans="1:21" hidden="1" x14ac:dyDescent="0.25">
      <c r="A405" t="s">
        <v>33</v>
      </c>
      <c r="B405">
        <v>400</v>
      </c>
      <c r="C405">
        <v>105</v>
      </c>
      <c r="D405">
        <v>4</v>
      </c>
      <c r="E405">
        <v>0.13447300000000001</v>
      </c>
      <c r="F405">
        <v>92.25</v>
      </c>
      <c r="G405">
        <v>53.5</v>
      </c>
      <c r="H405">
        <v>0.57994579945799463</v>
      </c>
      <c r="I405">
        <v>97.663600000000002</v>
      </c>
      <c r="J405">
        <v>2.3363999999999998</v>
      </c>
      <c r="K405">
        <v>90.476200000000006</v>
      </c>
      <c r="L405">
        <v>90</v>
      </c>
      <c r="M405">
        <v>100</v>
      </c>
      <c r="N405">
        <v>1332.67174</v>
      </c>
      <c r="O405">
        <v>208.1</v>
      </c>
      <c r="P405">
        <v>1124.3</v>
      </c>
      <c r="Q405">
        <v>0.27173999999999998</v>
      </c>
      <c r="R405">
        <v>124.923034</v>
      </c>
      <c r="S405">
        <v>100</v>
      </c>
      <c r="T405">
        <v>0.95</v>
      </c>
      <c r="U405" t="s">
        <v>17</v>
      </c>
    </row>
    <row r="406" spans="1:21" hidden="1" x14ac:dyDescent="0.25">
      <c r="A406" t="s">
        <v>33</v>
      </c>
      <c r="B406">
        <v>400</v>
      </c>
      <c r="C406">
        <v>105</v>
      </c>
      <c r="D406">
        <v>4</v>
      </c>
      <c r="E406">
        <v>0.132239</v>
      </c>
      <c r="F406">
        <v>92.25</v>
      </c>
      <c r="G406">
        <v>53.5</v>
      </c>
      <c r="H406">
        <v>0.57994579945799463</v>
      </c>
      <c r="I406">
        <v>97.663600000000002</v>
      </c>
      <c r="J406">
        <v>2.3363999999999998</v>
      </c>
      <c r="K406">
        <v>90.476200000000006</v>
      </c>
      <c r="L406">
        <v>90</v>
      </c>
      <c r="M406">
        <v>100</v>
      </c>
      <c r="N406">
        <v>1332.67227</v>
      </c>
      <c r="O406">
        <v>208.1</v>
      </c>
      <c r="P406">
        <v>1124.3</v>
      </c>
      <c r="Q406">
        <v>0.27227000000000001</v>
      </c>
      <c r="R406">
        <v>124.805842</v>
      </c>
      <c r="S406">
        <v>100</v>
      </c>
      <c r="T406">
        <v>0.95</v>
      </c>
      <c r="U406" t="s">
        <v>17</v>
      </c>
    </row>
    <row r="407" spans="1:21" hidden="1" x14ac:dyDescent="0.25">
      <c r="A407" t="s">
        <v>33</v>
      </c>
      <c r="B407">
        <v>400</v>
      </c>
      <c r="C407">
        <v>105</v>
      </c>
      <c r="D407">
        <v>4</v>
      </c>
      <c r="E407">
        <v>0.13619600000000001</v>
      </c>
      <c r="F407">
        <v>92.25</v>
      </c>
      <c r="G407">
        <v>53.5</v>
      </c>
      <c r="H407">
        <v>0.57994579945799463</v>
      </c>
      <c r="I407">
        <v>97.663600000000002</v>
      </c>
      <c r="J407">
        <v>2.3363999999999998</v>
      </c>
      <c r="K407">
        <v>90.476200000000006</v>
      </c>
      <c r="L407">
        <v>90</v>
      </c>
      <c r="M407">
        <v>100</v>
      </c>
      <c r="N407">
        <v>1332.67227</v>
      </c>
      <c r="O407">
        <v>208.1</v>
      </c>
      <c r="P407">
        <v>1124.3</v>
      </c>
      <c r="Q407">
        <v>0.27227000000000001</v>
      </c>
      <c r="R407">
        <v>124.805947</v>
      </c>
      <c r="S407">
        <v>100</v>
      </c>
      <c r="T407">
        <v>0.95</v>
      </c>
      <c r="U407" t="s">
        <v>17</v>
      </c>
    </row>
    <row r="408" spans="1:21" hidden="1" x14ac:dyDescent="0.25">
      <c r="A408" t="s">
        <v>33</v>
      </c>
      <c r="B408">
        <v>400</v>
      </c>
      <c r="C408">
        <v>105</v>
      </c>
      <c r="D408">
        <v>4</v>
      </c>
      <c r="E408">
        <v>0.13439599999999999</v>
      </c>
      <c r="F408">
        <v>92.25</v>
      </c>
      <c r="G408">
        <v>53.5</v>
      </c>
      <c r="H408">
        <v>0.57994579945799463</v>
      </c>
      <c r="I408">
        <v>97.663600000000002</v>
      </c>
      <c r="J408">
        <v>2.3363999999999998</v>
      </c>
      <c r="K408">
        <v>90.476200000000006</v>
      </c>
      <c r="L408">
        <v>90</v>
      </c>
      <c r="M408">
        <v>100</v>
      </c>
      <c r="N408">
        <v>1332.67227</v>
      </c>
      <c r="O408">
        <v>208.1</v>
      </c>
      <c r="P408">
        <v>1124.3</v>
      </c>
      <c r="Q408">
        <v>0.27227000000000001</v>
      </c>
      <c r="R408">
        <v>124.80931699999999</v>
      </c>
      <c r="S408">
        <v>100</v>
      </c>
      <c r="T408">
        <v>0.95</v>
      </c>
      <c r="U408" t="s">
        <v>17</v>
      </c>
    </row>
    <row r="409" spans="1:21" hidden="1" x14ac:dyDescent="0.25">
      <c r="A409" t="s">
        <v>33</v>
      </c>
      <c r="B409">
        <v>400</v>
      </c>
      <c r="C409">
        <v>105</v>
      </c>
      <c r="D409">
        <v>4</v>
      </c>
      <c r="E409">
        <v>0.134189</v>
      </c>
      <c r="F409">
        <v>92.25</v>
      </c>
      <c r="G409">
        <v>53.5</v>
      </c>
      <c r="H409">
        <v>0.57994579945799463</v>
      </c>
      <c r="I409">
        <v>97.663600000000002</v>
      </c>
      <c r="J409">
        <v>2.3363999999999998</v>
      </c>
      <c r="K409">
        <v>90.476200000000006</v>
      </c>
      <c r="L409">
        <v>90</v>
      </c>
      <c r="M409">
        <v>100</v>
      </c>
      <c r="N409">
        <v>1332.67227</v>
      </c>
      <c r="O409">
        <v>208.1</v>
      </c>
      <c r="P409">
        <v>1124.3</v>
      </c>
      <c r="Q409">
        <v>0.27227000000000001</v>
      </c>
      <c r="R409">
        <v>124.835995</v>
      </c>
      <c r="S409">
        <v>100</v>
      </c>
      <c r="T409">
        <v>0.95</v>
      </c>
      <c r="U409" t="s">
        <v>17</v>
      </c>
    </row>
    <row r="410" spans="1:21" hidden="1" x14ac:dyDescent="0.25">
      <c r="A410" t="s">
        <v>33</v>
      </c>
      <c r="B410">
        <v>400</v>
      </c>
      <c r="C410">
        <v>105</v>
      </c>
      <c r="D410">
        <v>4</v>
      </c>
      <c r="E410">
        <v>0.13722899999999999</v>
      </c>
      <c r="F410">
        <v>92.25</v>
      </c>
      <c r="G410">
        <v>53.5</v>
      </c>
      <c r="H410">
        <v>0.57994579945799463</v>
      </c>
      <c r="I410">
        <v>97.663600000000002</v>
      </c>
      <c r="J410">
        <v>2.3363999999999998</v>
      </c>
      <c r="K410">
        <v>90.476200000000006</v>
      </c>
      <c r="L410">
        <v>90</v>
      </c>
      <c r="M410">
        <v>100</v>
      </c>
      <c r="N410">
        <v>1332.67227</v>
      </c>
      <c r="O410">
        <v>208.1</v>
      </c>
      <c r="P410">
        <v>1124.3</v>
      </c>
      <c r="Q410">
        <v>0.27227000000000001</v>
      </c>
      <c r="R410">
        <v>124.809393</v>
      </c>
      <c r="S410">
        <v>100</v>
      </c>
      <c r="T410">
        <v>0.95</v>
      </c>
      <c r="U410" t="s">
        <v>17</v>
      </c>
    </row>
    <row r="411" spans="1:21" hidden="1" x14ac:dyDescent="0.25">
      <c r="A411" t="s">
        <v>33</v>
      </c>
      <c r="B411">
        <v>400</v>
      </c>
      <c r="C411">
        <v>105</v>
      </c>
      <c r="D411">
        <v>4</v>
      </c>
      <c r="E411">
        <v>0.13469200000000001</v>
      </c>
      <c r="F411">
        <v>92.25</v>
      </c>
      <c r="G411">
        <v>53.5</v>
      </c>
      <c r="H411">
        <v>0.57994579945799463</v>
      </c>
      <c r="I411">
        <v>97.663600000000002</v>
      </c>
      <c r="J411">
        <v>2.3363999999999998</v>
      </c>
      <c r="K411">
        <v>90.476200000000006</v>
      </c>
      <c r="L411">
        <v>90</v>
      </c>
      <c r="M411">
        <v>100</v>
      </c>
      <c r="N411">
        <v>1332.67227</v>
      </c>
      <c r="O411">
        <v>208.1</v>
      </c>
      <c r="P411">
        <v>1124.3</v>
      </c>
      <c r="Q411">
        <v>0.27227000000000001</v>
      </c>
      <c r="R411">
        <v>124.806021</v>
      </c>
      <c r="S411">
        <v>100</v>
      </c>
      <c r="T411">
        <v>0.95</v>
      </c>
      <c r="U411" t="s">
        <v>17</v>
      </c>
    </row>
    <row r="412" spans="1:21" hidden="1" x14ac:dyDescent="0.25">
      <c r="A412" t="s">
        <v>33</v>
      </c>
      <c r="B412">
        <v>400</v>
      </c>
      <c r="C412">
        <v>105</v>
      </c>
      <c r="D412">
        <v>4</v>
      </c>
      <c r="E412">
        <v>0.133129</v>
      </c>
      <c r="F412">
        <v>92.25</v>
      </c>
      <c r="G412">
        <v>53.5</v>
      </c>
      <c r="H412">
        <v>0.57994579945799463</v>
      </c>
      <c r="I412">
        <v>97.663600000000002</v>
      </c>
      <c r="J412">
        <v>2.3363999999999998</v>
      </c>
      <c r="K412">
        <v>90.476200000000006</v>
      </c>
      <c r="L412">
        <v>90</v>
      </c>
      <c r="M412">
        <v>100</v>
      </c>
      <c r="N412">
        <v>1332.67227</v>
      </c>
      <c r="O412">
        <v>208.1</v>
      </c>
      <c r="P412">
        <v>1124.3</v>
      </c>
      <c r="Q412">
        <v>0.27227000000000001</v>
      </c>
      <c r="R412">
        <v>124.836018</v>
      </c>
      <c r="S412">
        <v>100</v>
      </c>
      <c r="T412">
        <v>0.95</v>
      </c>
      <c r="U412" t="s">
        <v>17</v>
      </c>
    </row>
    <row r="413" spans="1:21" hidden="1" x14ac:dyDescent="0.25">
      <c r="A413" t="s">
        <v>33</v>
      </c>
      <c r="B413">
        <v>400</v>
      </c>
      <c r="C413">
        <v>105</v>
      </c>
      <c r="D413">
        <v>4</v>
      </c>
      <c r="E413">
        <v>0.134989</v>
      </c>
      <c r="F413">
        <v>92.25</v>
      </c>
      <c r="G413">
        <v>53.5</v>
      </c>
      <c r="H413">
        <v>0.57994579945799463</v>
      </c>
      <c r="I413">
        <v>97.663600000000002</v>
      </c>
      <c r="J413">
        <v>2.3363999999999998</v>
      </c>
      <c r="K413">
        <v>90.476200000000006</v>
      </c>
      <c r="L413">
        <v>90</v>
      </c>
      <c r="M413">
        <v>100</v>
      </c>
      <c r="N413">
        <v>1332.67227</v>
      </c>
      <c r="O413">
        <v>208.1</v>
      </c>
      <c r="P413">
        <v>1124.3</v>
      </c>
      <c r="Q413">
        <v>0.27227000000000001</v>
      </c>
      <c r="R413">
        <v>124.806054</v>
      </c>
      <c r="S413">
        <v>100</v>
      </c>
      <c r="T413">
        <v>0.95</v>
      </c>
      <c r="U413" t="s">
        <v>17</v>
      </c>
    </row>
    <row r="414" spans="1:21" hidden="1" x14ac:dyDescent="0.25">
      <c r="A414" t="s">
        <v>33</v>
      </c>
      <c r="B414">
        <v>400</v>
      </c>
      <c r="C414">
        <v>105</v>
      </c>
      <c r="D414">
        <v>4</v>
      </c>
      <c r="E414">
        <v>0.13444600000000001</v>
      </c>
      <c r="F414">
        <v>92.25</v>
      </c>
      <c r="G414">
        <v>53.5</v>
      </c>
      <c r="H414">
        <v>0.57994579945799463</v>
      </c>
      <c r="I414">
        <v>97.663600000000002</v>
      </c>
      <c r="J414">
        <v>2.3363999999999998</v>
      </c>
      <c r="K414">
        <v>90.476200000000006</v>
      </c>
      <c r="L414">
        <v>90</v>
      </c>
      <c r="M414">
        <v>100</v>
      </c>
      <c r="N414">
        <v>1332.67227</v>
      </c>
      <c r="O414">
        <v>208.1</v>
      </c>
      <c r="P414">
        <v>1124.3</v>
      </c>
      <c r="Q414">
        <v>0.27227000000000001</v>
      </c>
      <c r="R414">
        <v>124.83609199999999</v>
      </c>
      <c r="S414">
        <v>100</v>
      </c>
      <c r="T414">
        <v>0.95</v>
      </c>
      <c r="U414" t="s">
        <v>17</v>
      </c>
    </row>
    <row r="415" spans="1:21" hidden="1" x14ac:dyDescent="0.25">
      <c r="A415" t="s">
        <v>33</v>
      </c>
      <c r="B415">
        <v>400</v>
      </c>
      <c r="C415">
        <v>105</v>
      </c>
      <c r="D415">
        <v>4</v>
      </c>
      <c r="E415">
        <v>0.13592599999999999</v>
      </c>
      <c r="F415">
        <v>92.25</v>
      </c>
      <c r="G415">
        <v>53.5</v>
      </c>
      <c r="H415">
        <v>0.57994579945799463</v>
      </c>
      <c r="I415">
        <v>97.663600000000002</v>
      </c>
      <c r="J415">
        <v>2.3363999999999998</v>
      </c>
      <c r="K415">
        <v>90.476200000000006</v>
      </c>
      <c r="L415">
        <v>90</v>
      </c>
      <c r="M415">
        <v>100</v>
      </c>
      <c r="N415">
        <v>1332.67227</v>
      </c>
      <c r="O415">
        <v>208.1</v>
      </c>
      <c r="P415">
        <v>1124.3</v>
      </c>
      <c r="Q415">
        <v>0.27227000000000001</v>
      </c>
      <c r="R415">
        <v>124.8361</v>
      </c>
      <c r="S415">
        <v>100</v>
      </c>
      <c r="T415">
        <v>0.95</v>
      </c>
      <c r="U415" t="s">
        <v>17</v>
      </c>
    </row>
    <row r="416" spans="1:21" hidden="1" x14ac:dyDescent="0.25">
      <c r="A416" t="s">
        <v>33</v>
      </c>
      <c r="B416">
        <v>400</v>
      </c>
      <c r="C416">
        <v>105</v>
      </c>
      <c r="D416">
        <v>4</v>
      </c>
      <c r="E416">
        <v>0.133883</v>
      </c>
      <c r="F416">
        <v>92.25</v>
      </c>
      <c r="G416">
        <v>53.5</v>
      </c>
      <c r="H416">
        <v>0.57994579945799463</v>
      </c>
      <c r="I416">
        <v>97.663600000000002</v>
      </c>
      <c r="J416">
        <v>2.3363999999999998</v>
      </c>
      <c r="K416">
        <v>90.476200000000006</v>
      </c>
      <c r="L416">
        <v>90</v>
      </c>
      <c r="M416">
        <v>100</v>
      </c>
      <c r="N416">
        <v>1332.6725100000001</v>
      </c>
      <c r="O416">
        <v>208.1</v>
      </c>
      <c r="P416">
        <v>1124.3</v>
      </c>
      <c r="Q416">
        <v>0.27250999999999997</v>
      </c>
      <c r="R416">
        <v>124.75263200000001</v>
      </c>
      <c r="S416">
        <v>100</v>
      </c>
      <c r="T416">
        <v>0.95</v>
      </c>
      <c r="U416" t="s">
        <v>17</v>
      </c>
    </row>
    <row r="417" spans="1:21" hidden="1" x14ac:dyDescent="0.25">
      <c r="A417" t="s">
        <v>33</v>
      </c>
      <c r="B417">
        <v>400</v>
      </c>
      <c r="C417">
        <v>105</v>
      </c>
      <c r="D417">
        <v>4</v>
      </c>
      <c r="E417">
        <v>0.13217599999999999</v>
      </c>
      <c r="F417">
        <v>92.25</v>
      </c>
      <c r="G417">
        <v>53.5</v>
      </c>
      <c r="H417">
        <v>0.57994579945799463</v>
      </c>
      <c r="I417">
        <v>97.663600000000002</v>
      </c>
      <c r="J417">
        <v>2.3363999999999998</v>
      </c>
      <c r="K417">
        <v>90.476200000000006</v>
      </c>
      <c r="L417">
        <v>90</v>
      </c>
      <c r="M417">
        <v>100</v>
      </c>
      <c r="N417">
        <v>1332.6725100000001</v>
      </c>
      <c r="O417">
        <v>208.1</v>
      </c>
      <c r="P417">
        <v>1124.3</v>
      </c>
      <c r="Q417">
        <v>0.27250999999999997</v>
      </c>
      <c r="R417">
        <v>124.722328</v>
      </c>
      <c r="S417">
        <v>100</v>
      </c>
      <c r="T417">
        <v>0.95</v>
      </c>
      <c r="U417" t="s">
        <v>17</v>
      </c>
    </row>
    <row r="418" spans="1:21" hidden="1" x14ac:dyDescent="0.25">
      <c r="A418" t="s">
        <v>33</v>
      </c>
      <c r="B418">
        <v>400</v>
      </c>
      <c r="C418">
        <v>105</v>
      </c>
      <c r="D418">
        <v>4</v>
      </c>
      <c r="E418">
        <v>0.13217499999999999</v>
      </c>
      <c r="F418">
        <v>92.25</v>
      </c>
      <c r="G418">
        <v>53.5</v>
      </c>
      <c r="H418">
        <v>0.57994579945799463</v>
      </c>
      <c r="I418">
        <v>97.663600000000002</v>
      </c>
      <c r="J418">
        <v>2.3363999999999998</v>
      </c>
      <c r="K418">
        <v>90.476200000000006</v>
      </c>
      <c r="L418">
        <v>90</v>
      </c>
      <c r="M418">
        <v>100</v>
      </c>
      <c r="N418">
        <v>1332.6725100000001</v>
      </c>
      <c r="O418">
        <v>208.1</v>
      </c>
      <c r="P418">
        <v>1124.3</v>
      </c>
      <c r="Q418">
        <v>0.27250999999999997</v>
      </c>
      <c r="R418">
        <v>124.74906</v>
      </c>
      <c r="S418">
        <v>100</v>
      </c>
      <c r="T418">
        <v>0.95</v>
      </c>
      <c r="U418" t="s">
        <v>17</v>
      </c>
    </row>
    <row r="419" spans="1:21" hidden="1" x14ac:dyDescent="0.25">
      <c r="A419" t="s">
        <v>33</v>
      </c>
      <c r="B419">
        <v>400</v>
      </c>
      <c r="C419">
        <v>105</v>
      </c>
      <c r="D419">
        <v>4</v>
      </c>
      <c r="E419">
        <v>0.133851</v>
      </c>
      <c r="F419">
        <v>92.25</v>
      </c>
      <c r="G419">
        <v>53.5</v>
      </c>
      <c r="H419">
        <v>0.57994579945799463</v>
      </c>
      <c r="I419">
        <v>97.663600000000002</v>
      </c>
      <c r="J419">
        <v>2.3363999999999998</v>
      </c>
      <c r="K419">
        <v>90.476200000000006</v>
      </c>
      <c r="L419">
        <v>90</v>
      </c>
      <c r="M419">
        <v>100</v>
      </c>
      <c r="N419">
        <v>1332.6725100000001</v>
      </c>
      <c r="O419">
        <v>208.1</v>
      </c>
      <c r="P419">
        <v>1124.3</v>
      </c>
      <c r="Q419">
        <v>0.27250999999999997</v>
      </c>
      <c r="R419">
        <v>124.752498</v>
      </c>
      <c r="S419">
        <v>100</v>
      </c>
      <c r="T419">
        <v>0.95</v>
      </c>
      <c r="U419" t="s">
        <v>17</v>
      </c>
    </row>
    <row r="420" spans="1:21" hidden="1" x14ac:dyDescent="0.25">
      <c r="A420" t="s">
        <v>33</v>
      </c>
      <c r="B420">
        <v>400</v>
      </c>
      <c r="C420">
        <v>105</v>
      </c>
      <c r="D420">
        <v>4</v>
      </c>
      <c r="E420">
        <v>0.13470799999999999</v>
      </c>
      <c r="F420">
        <v>92.25</v>
      </c>
      <c r="G420">
        <v>53.5</v>
      </c>
      <c r="H420">
        <v>0.57994579945799463</v>
      </c>
      <c r="I420">
        <v>97.663600000000002</v>
      </c>
      <c r="J420">
        <v>2.3363999999999998</v>
      </c>
      <c r="K420">
        <v>90.476200000000006</v>
      </c>
      <c r="L420">
        <v>90</v>
      </c>
      <c r="M420">
        <v>100</v>
      </c>
      <c r="N420">
        <v>1332.6725100000001</v>
      </c>
      <c r="O420">
        <v>208.1</v>
      </c>
      <c r="P420">
        <v>1124.3</v>
      </c>
      <c r="Q420">
        <v>0.27250999999999997</v>
      </c>
      <c r="R420">
        <v>124.779245</v>
      </c>
      <c r="S420">
        <v>100</v>
      </c>
      <c r="T420">
        <v>0.95</v>
      </c>
      <c r="U420" t="s">
        <v>17</v>
      </c>
    </row>
    <row r="421" spans="1:21" hidden="1" x14ac:dyDescent="0.25">
      <c r="A421" t="s">
        <v>33</v>
      </c>
      <c r="B421">
        <v>400</v>
      </c>
      <c r="C421">
        <v>105</v>
      </c>
      <c r="D421">
        <v>4</v>
      </c>
      <c r="E421">
        <v>0.13406799999999999</v>
      </c>
      <c r="F421">
        <v>92.25</v>
      </c>
      <c r="G421">
        <v>53.5</v>
      </c>
      <c r="H421">
        <v>0.57994579945799463</v>
      </c>
      <c r="I421">
        <v>97.663600000000002</v>
      </c>
      <c r="J421">
        <v>2.3363999999999998</v>
      </c>
      <c r="K421">
        <v>90.476200000000006</v>
      </c>
      <c r="L421">
        <v>90</v>
      </c>
      <c r="M421">
        <v>100</v>
      </c>
      <c r="N421">
        <v>1332.6725100000001</v>
      </c>
      <c r="O421">
        <v>208.1</v>
      </c>
      <c r="P421">
        <v>1124.3</v>
      </c>
      <c r="Q421">
        <v>0.27250999999999997</v>
      </c>
      <c r="R421">
        <v>124.779234</v>
      </c>
      <c r="S421">
        <v>100</v>
      </c>
      <c r="T421">
        <v>0.95</v>
      </c>
      <c r="U421" t="s">
        <v>17</v>
      </c>
    </row>
    <row r="422" spans="1:21" hidden="1" x14ac:dyDescent="0.25">
      <c r="A422" t="s">
        <v>33</v>
      </c>
      <c r="B422">
        <v>400</v>
      </c>
      <c r="C422">
        <v>105</v>
      </c>
      <c r="D422">
        <v>4</v>
      </c>
      <c r="E422">
        <v>0.137291</v>
      </c>
      <c r="F422">
        <v>92.25</v>
      </c>
      <c r="G422">
        <v>53.5</v>
      </c>
      <c r="H422">
        <v>0.57994579945799463</v>
      </c>
      <c r="I422">
        <v>97.663600000000002</v>
      </c>
      <c r="J422">
        <v>2.3363999999999998</v>
      </c>
      <c r="K422">
        <v>90.476200000000006</v>
      </c>
      <c r="L422">
        <v>90</v>
      </c>
      <c r="M422">
        <v>100</v>
      </c>
      <c r="N422">
        <v>1332.6725100000001</v>
      </c>
      <c r="O422">
        <v>208.1</v>
      </c>
      <c r="P422">
        <v>1124.3</v>
      </c>
      <c r="Q422">
        <v>0.27250999999999997</v>
      </c>
      <c r="R422">
        <v>124.77933</v>
      </c>
      <c r="S422">
        <v>100</v>
      </c>
      <c r="T422">
        <v>0.95</v>
      </c>
      <c r="U422" t="s">
        <v>17</v>
      </c>
    </row>
    <row r="423" spans="1:21" hidden="1" x14ac:dyDescent="0.25">
      <c r="A423" t="s">
        <v>33</v>
      </c>
      <c r="B423">
        <v>400</v>
      </c>
      <c r="C423">
        <v>105</v>
      </c>
      <c r="D423">
        <v>4</v>
      </c>
      <c r="E423">
        <v>0.13219500000000001</v>
      </c>
      <c r="F423">
        <v>92.25</v>
      </c>
      <c r="G423">
        <v>53.5</v>
      </c>
      <c r="H423">
        <v>0.57994579945799463</v>
      </c>
      <c r="I423">
        <v>97.663600000000002</v>
      </c>
      <c r="J423">
        <v>2.3363999999999998</v>
      </c>
      <c r="K423">
        <v>90.476200000000006</v>
      </c>
      <c r="L423">
        <v>90</v>
      </c>
      <c r="M423">
        <v>100</v>
      </c>
      <c r="N423">
        <v>1332.6725100000001</v>
      </c>
      <c r="O423">
        <v>208.1</v>
      </c>
      <c r="P423">
        <v>1124.3</v>
      </c>
      <c r="Q423">
        <v>0.27250999999999997</v>
      </c>
      <c r="R423">
        <v>124.74907</v>
      </c>
      <c r="S423">
        <v>100</v>
      </c>
      <c r="T423">
        <v>0.95</v>
      </c>
      <c r="U423" t="s">
        <v>17</v>
      </c>
    </row>
    <row r="424" spans="1:21" hidden="1" x14ac:dyDescent="0.25">
      <c r="A424" t="s">
        <v>33</v>
      </c>
      <c r="B424">
        <v>400</v>
      </c>
      <c r="C424">
        <v>105</v>
      </c>
      <c r="D424">
        <v>4</v>
      </c>
      <c r="E424">
        <v>0.13159100000000001</v>
      </c>
      <c r="F424">
        <v>92.25</v>
      </c>
      <c r="G424">
        <v>53.5</v>
      </c>
      <c r="H424">
        <v>0.57994579945799463</v>
      </c>
      <c r="I424">
        <v>97.663600000000002</v>
      </c>
      <c r="J424">
        <v>2.3363999999999998</v>
      </c>
      <c r="K424">
        <v>90.476200000000006</v>
      </c>
      <c r="L424">
        <v>90</v>
      </c>
      <c r="M424">
        <v>100</v>
      </c>
      <c r="N424">
        <v>1332.6725100000001</v>
      </c>
      <c r="O424">
        <v>208.1</v>
      </c>
      <c r="P424">
        <v>1124.3</v>
      </c>
      <c r="Q424">
        <v>0.27250999999999997</v>
      </c>
      <c r="R424">
        <v>124.72587300000001</v>
      </c>
      <c r="S424">
        <v>100</v>
      </c>
      <c r="T424">
        <v>0.95</v>
      </c>
      <c r="U424" t="s">
        <v>17</v>
      </c>
    </row>
    <row r="425" spans="1:21" hidden="1" x14ac:dyDescent="0.25">
      <c r="A425" t="s">
        <v>33</v>
      </c>
      <c r="B425">
        <v>400</v>
      </c>
      <c r="C425">
        <v>105</v>
      </c>
      <c r="D425">
        <v>4</v>
      </c>
      <c r="E425">
        <v>0.13393099999999999</v>
      </c>
      <c r="F425">
        <v>92.25</v>
      </c>
      <c r="G425">
        <v>53.5</v>
      </c>
      <c r="H425">
        <v>0.57994579945799463</v>
      </c>
      <c r="I425">
        <v>97.663600000000002</v>
      </c>
      <c r="J425">
        <v>2.3363999999999998</v>
      </c>
      <c r="K425">
        <v>90.476200000000006</v>
      </c>
      <c r="L425">
        <v>90</v>
      </c>
      <c r="M425">
        <v>100</v>
      </c>
      <c r="N425">
        <v>1332.6725100000001</v>
      </c>
      <c r="O425">
        <v>208.1</v>
      </c>
      <c r="P425">
        <v>1124.3</v>
      </c>
      <c r="Q425">
        <v>0.27250999999999997</v>
      </c>
      <c r="R425">
        <v>124.779247</v>
      </c>
      <c r="S425">
        <v>100</v>
      </c>
      <c r="T425">
        <v>0.95</v>
      </c>
      <c r="U425" t="s">
        <v>17</v>
      </c>
    </row>
    <row r="426" spans="1:21" hidden="1" x14ac:dyDescent="0.25">
      <c r="A426" t="s">
        <v>33</v>
      </c>
      <c r="B426">
        <v>400</v>
      </c>
      <c r="C426">
        <v>105</v>
      </c>
      <c r="D426">
        <v>4</v>
      </c>
      <c r="E426">
        <v>0.13478899999999999</v>
      </c>
      <c r="F426">
        <v>92.25</v>
      </c>
      <c r="G426">
        <v>53.5</v>
      </c>
      <c r="H426">
        <v>0.57994579945799463</v>
      </c>
      <c r="I426">
        <v>97.663600000000002</v>
      </c>
      <c r="J426">
        <v>2.3363999999999998</v>
      </c>
      <c r="K426">
        <v>90.476200000000006</v>
      </c>
      <c r="L426">
        <v>90</v>
      </c>
      <c r="M426">
        <v>100</v>
      </c>
      <c r="N426">
        <v>1332.6725100000001</v>
      </c>
      <c r="O426">
        <v>208.1</v>
      </c>
      <c r="P426">
        <v>1124.3</v>
      </c>
      <c r="Q426">
        <v>0.27250999999999997</v>
      </c>
      <c r="R426">
        <v>124.752634</v>
      </c>
      <c r="S426">
        <v>100</v>
      </c>
      <c r="T426">
        <v>0.95</v>
      </c>
      <c r="U426" t="s">
        <v>17</v>
      </c>
    </row>
    <row r="427" spans="1:21" hidden="1" x14ac:dyDescent="0.25">
      <c r="A427" t="s">
        <v>33</v>
      </c>
      <c r="B427">
        <v>400</v>
      </c>
      <c r="C427">
        <v>105</v>
      </c>
      <c r="D427">
        <v>4</v>
      </c>
      <c r="E427">
        <v>0.134405</v>
      </c>
      <c r="F427">
        <v>92.25</v>
      </c>
      <c r="G427">
        <v>53.5</v>
      </c>
      <c r="H427">
        <v>0.57994579945799463</v>
      </c>
      <c r="I427">
        <v>97.663600000000002</v>
      </c>
      <c r="J427">
        <v>2.3363999999999998</v>
      </c>
      <c r="K427">
        <v>90.476200000000006</v>
      </c>
      <c r="L427">
        <v>90</v>
      </c>
      <c r="M427">
        <v>100</v>
      </c>
      <c r="N427">
        <v>1332.6725100000001</v>
      </c>
      <c r="O427">
        <v>208.1</v>
      </c>
      <c r="P427">
        <v>1124.3</v>
      </c>
      <c r="Q427">
        <v>0.27250999999999997</v>
      </c>
      <c r="R427">
        <v>124.779231</v>
      </c>
      <c r="S427">
        <v>100</v>
      </c>
      <c r="T427">
        <v>0.95</v>
      </c>
      <c r="U427" t="s">
        <v>17</v>
      </c>
    </row>
    <row r="428" spans="1:21" hidden="1" x14ac:dyDescent="0.25">
      <c r="A428" t="s">
        <v>33</v>
      </c>
      <c r="B428">
        <v>400</v>
      </c>
      <c r="C428">
        <v>105</v>
      </c>
      <c r="D428">
        <v>4</v>
      </c>
      <c r="E428">
        <v>0.134189</v>
      </c>
      <c r="F428">
        <v>92.25</v>
      </c>
      <c r="G428">
        <v>53.5</v>
      </c>
      <c r="H428">
        <v>0.57994579945799463</v>
      </c>
      <c r="I428">
        <v>97.663600000000002</v>
      </c>
      <c r="J428">
        <v>2.3363999999999998</v>
      </c>
      <c r="K428">
        <v>90.476200000000006</v>
      </c>
      <c r="L428">
        <v>90</v>
      </c>
      <c r="M428">
        <v>100</v>
      </c>
      <c r="N428">
        <v>1332.67263</v>
      </c>
      <c r="O428">
        <v>208.1</v>
      </c>
      <c r="P428">
        <v>1124.3</v>
      </c>
      <c r="Q428">
        <v>0.27262999999999998</v>
      </c>
      <c r="R428">
        <v>124.696095</v>
      </c>
      <c r="S428">
        <v>100</v>
      </c>
      <c r="T428">
        <v>0.95</v>
      </c>
      <c r="U428" t="s">
        <v>17</v>
      </c>
    </row>
    <row r="429" spans="1:21" hidden="1" x14ac:dyDescent="0.25">
      <c r="A429" t="s">
        <v>33</v>
      </c>
      <c r="B429">
        <v>400</v>
      </c>
      <c r="C429">
        <v>105</v>
      </c>
      <c r="D429">
        <v>4</v>
      </c>
      <c r="E429">
        <v>0.13608000000000001</v>
      </c>
      <c r="F429">
        <v>92.25</v>
      </c>
      <c r="G429">
        <v>53.5</v>
      </c>
      <c r="H429">
        <v>0.57994579945799463</v>
      </c>
      <c r="I429">
        <v>97.663600000000002</v>
      </c>
      <c r="J429">
        <v>2.3363999999999998</v>
      </c>
      <c r="K429">
        <v>90.476200000000006</v>
      </c>
      <c r="L429">
        <v>90</v>
      </c>
      <c r="M429">
        <v>100</v>
      </c>
      <c r="N429">
        <v>1332.67263</v>
      </c>
      <c r="O429">
        <v>208.1</v>
      </c>
      <c r="P429">
        <v>1124.3</v>
      </c>
      <c r="Q429">
        <v>0.27262999999999998</v>
      </c>
      <c r="R429">
        <v>124.689487</v>
      </c>
      <c r="S429">
        <v>100</v>
      </c>
      <c r="T429">
        <v>0.95</v>
      </c>
      <c r="U429" t="s">
        <v>17</v>
      </c>
    </row>
    <row r="430" spans="1:21" hidden="1" x14ac:dyDescent="0.25">
      <c r="A430" t="s">
        <v>33</v>
      </c>
      <c r="B430">
        <v>400</v>
      </c>
      <c r="C430">
        <v>105</v>
      </c>
      <c r="D430">
        <v>4</v>
      </c>
      <c r="E430">
        <v>0.13673199999999999</v>
      </c>
      <c r="F430">
        <v>92.25</v>
      </c>
      <c r="G430">
        <v>53.5</v>
      </c>
      <c r="H430">
        <v>0.57994579945799463</v>
      </c>
      <c r="I430">
        <v>97.663600000000002</v>
      </c>
      <c r="J430">
        <v>2.3363999999999998</v>
      </c>
      <c r="K430">
        <v>90.476200000000006</v>
      </c>
      <c r="L430">
        <v>90</v>
      </c>
      <c r="M430">
        <v>100</v>
      </c>
      <c r="N430">
        <v>1332.67263</v>
      </c>
      <c r="O430">
        <v>208.1</v>
      </c>
      <c r="P430">
        <v>1124.3</v>
      </c>
      <c r="Q430">
        <v>0.27262999999999998</v>
      </c>
      <c r="R430">
        <v>124.692677</v>
      </c>
      <c r="S430">
        <v>100</v>
      </c>
      <c r="T430">
        <v>0.95</v>
      </c>
      <c r="U430" t="s">
        <v>17</v>
      </c>
    </row>
    <row r="431" spans="1:21" hidden="1" x14ac:dyDescent="0.25">
      <c r="A431" t="s">
        <v>33</v>
      </c>
      <c r="B431">
        <v>400</v>
      </c>
      <c r="C431">
        <v>105</v>
      </c>
      <c r="D431">
        <v>4</v>
      </c>
      <c r="E431">
        <v>0.13422600000000001</v>
      </c>
      <c r="F431">
        <v>92.25</v>
      </c>
      <c r="G431">
        <v>53.5</v>
      </c>
      <c r="H431">
        <v>0.57994579945799463</v>
      </c>
      <c r="I431">
        <v>97.663600000000002</v>
      </c>
      <c r="J431">
        <v>2.3363999999999998</v>
      </c>
      <c r="K431">
        <v>91.428600000000003</v>
      </c>
      <c r="L431">
        <v>91</v>
      </c>
      <c r="M431">
        <v>100</v>
      </c>
      <c r="N431">
        <v>1332.6731199999999</v>
      </c>
      <c r="O431">
        <v>208.1</v>
      </c>
      <c r="P431">
        <v>1124.3</v>
      </c>
      <c r="Q431">
        <v>0.27311999999999997</v>
      </c>
      <c r="R431">
        <v>124.895894</v>
      </c>
      <c r="S431">
        <v>100</v>
      </c>
      <c r="T431">
        <v>0.95</v>
      </c>
      <c r="U431" t="s">
        <v>17</v>
      </c>
    </row>
    <row r="432" spans="1:21" hidden="1" x14ac:dyDescent="0.25">
      <c r="A432" t="s">
        <v>33</v>
      </c>
      <c r="B432">
        <v>400</v>
      </c>
      <c r="C432">
        <v>105</v>
      </c>
      <c r="D432">
        <v>4</v>
      </c>
      <c r="E432">
        <v>0.13828699999999999</v>
      </c>
      <c r="F432">
        <v>92.25</v>
      </c>
      <c r="G432">
        <v>53.5</v>
      </c>
      <c r="H432">
        <v>0.57994579945799463</v>
      </c>
      <c r="I432">
        <v>97.663600000000002</v>
      </c>
      <c r="J432">
        <v>2.3363999999999998</v>
      </c>
      <c r="K432">
        <v>91.428600000000003</v>
      </c>
      <c r="L432">
        <v>91</v>
      </c>
      <c r="M432">
        <v>100</v>
      </c>
      <c r="N432">
        <v>1332.6731199999999</v>
      </c>
      <c r="O432">
        <v>208.1</v>
      </c>
      <c r="P432">
        <v>1124.3</v>
      </c>
      <c r="Q432">
        <v>0.27311999999999997</v>
      </c>
      <c r="R432">
        <v>124.926124</v>
      </c>
      <c r="S432">
        <v>100</v>
      </c>
      <c r="T432">
        <v>0.95</v>
      </c>
      <c r="U432" t="s">
        <v>17</v>
      </c>
    </row>
    <row r="433" spans="1:21" hidden="1" x14ac:dyDescent="0.25">
      <c r="A433" t="s">
        <v>33</v>
      </c>
      <c r="B433">
        <v>400</v>
      </c>
      <c r="C433">
        <v>105</v>
      </c>
      <c r="D433">
        <v>4</v>
      </c>
      <c r="E433">
        <v>0.136603</v>
      </c>
      <c r="F433">
        <v>92.25</v>
      </c>
      <c r="G433">
        <v>53.5</v>
      </c>
      <c r="H433">
        <v>0.57994579945799463</v>
      </c>
      <c r="I433">
        <v>97.663600000000002</v>
      </c>
      <c r="J433">
        <v>2.3363999999999998</v>
      </c>
      <c r="K433">
        <v>91.428600000000003</v>
      </c>
      <c r="L433">
        <v>91</v>
      </c>
      <c r="M433">
        <v>100</v>
      </c>
      <c r="N433">
        <v>1332.6731199999999</v>
      </c>
      <c r="O433">
        <v>208.1</v>
      </c>
      <c r="P433">
        <v>1124.3</v>
      </c>
      <c r="Q433">
        <v>0.27311999999999997</v>
      </c>
      <c r="R433">
        <v>124.889078</v>
      </c>
      <c r="S433">
        <v>100</v>
      </c>
      <c r="T433">
        <v>0.95</v>
      </c>
      <c r="U433" t="s">
        <v>17</v>
      </c>
    </row>
    <row r="434" spans="1:21" hidden="1" x14ac:dyDescent="0.25">
      <c r="A434" t="s">
        <v>33</v>
      </c>
      <c r="B434">
        <v>400</v>
      </c>
      <c r="C434">
        <v>105</v>
      </c>
      <c r="D434">
        <v>4</v>
      </c>
      <c r="E434">
        <v>0.13358999999999999</v>
      </c>
      <c r="F434">
        <v>92.25</v>
      </c>
      <c r="G434">
        <v>53.5</v>
      </c>
      <c r="H434">
        <v>0.57994579945799463</v>
      </c>
      <c r="I434">
        <v>97.663600000000002</v>
      </c>
      <c r="J434">
        <v>2.3363999999999998</v>
      </c>
      <c r="K434">
        <v>91.428600000000003</v>
      </c>
      <c r="L434">
        <v>91</v>
      </c>
      <c r="M434">
        <v>100</v>
      </c>
      <c r="N434">
        <v>1332.6731199999999</v>
      </c>
      <c r="O434">
        <v>208.1</v>
      </c>
      <c r="P434">
        <v>1124.3</v>
      </c>
      <c r="Q434">
        <v>0.27311999999999997</v>
      </c>
      <c r="R434">
        <v>124.91917100000001</v>
      </c>
      <c r="S434">
        <v>100</v>
      </c>
      <c r="T434">
        <v>0.95</v>
      </c>
      <c r="U434" t="s">
        <v>17</v>
      </c>
    </row>
    <row r="435" spans="1:21" hidden="1" x14ac:dyDescent="0.25">
      <c r="A435" t="s">
        <v>33</v>
      </c>
      <c r="B435">
        <v>400</v>
      </c>
      <c r="C435">
        <v>105</v>
      </c>
      <c r="D435">
        <v>4</v>
      </c>
      <c r="E435">
        <v>0.13438600000000001</v>
      </c>
      <c r="F435">
        <v>92.25</v>
      </c>
      <c r="G435">
        <v>53.5</v>
      </c>
      <c r="H435">
        <v>0.57994579945799463</v>
      </c>
      <c r="I435">
        <v>97.663600000000002</v>
      </c>
      <c r="J435">
        <v>2.3363999999999998</v>
      </c>
      <c r="K435">
        <v>91.428600000000003</v>
      </c>
      <c r="L435">
        <v>91</v>
      </c>
      <c r="M435">
        <v>100</v>
      </c>
      <c r="N435">
        <v>1332.6731199999999</v>
      </c>
      <c r="O435">
        <v>208.1</v>
      </c>
      <c r="P435">
        <v>1124.3</v>
      </c>
      <c r="Q435">
        <v>0.27311999999999997</v>
      </c>
      <c r="R435">
        <v>124.88909</v>
      </c>
      <c r="S435">
        <v>100</v>
      </c>
      <c r="T435">
        <v>0.95</v>
      </c>
      <c r="U435" t="s">
        <v>17</v>
      </c>
    </row>
    <row r="436" spans="1:21" hidden="1" x14ac:dyDescent="0.25">
      <c r="A436" t="s">
        <v>33</v>
      </c>
      <c r="B436">
        <v>400</v>
      </c>
      <c r="C436">
        <v>105</v>
      </c>
      <c r="D436">
        <v>4</v>
      </c>
      <c r="E436">
        <v>0.13394900000000001</v>
      </c>
      <c r="F436">
        <v>92.25</v>
      </c>
      <c r="G436">
        <v>53.5</v>
      </c>
      <c r="H436">
        <v>0.57994579945799463</v>
      </c>
      <c r="I436">
        <v>97.663600000000002</v>
      </c>
      <c r="J436">
        <v>2.3363999999999998</v>
      </c>
      <c r="K436">
        <v>91.428600000000003</v>
      </c>
      <c r="L436">
        <v>91</v>
      </c>
      <c r="M436">
        <v>100</v>
      </c>
      <c r="N436">
        <v>1332.6731199999999</v>
      </c>
      <c r="O436">
        <v>208.1</v>
      </c>
      <c r="P436">
        <v>1124.3</v>
      </c>
      <c r="Q436">
        <v>0.27311999999999997</v>
      </c>
      <c r="R436">
        <v>124.92260400000001</v>
      </c>
      <c r="S436">
        <v>100</v>
      </c>
      <c r="T436">
        <v>0.95</v>
      </c>
      <c r="U436" t="s">
        <v>17</v>
      </c>
    </row>
    <row r="437" spans="1:21" hidden="1" x14ac:dyDescent="0.25">
      <c r="A437" t="s">
        <v>33</v>
      </c>
      <c r="B437">
        <v>400</v>
      </c>
      <c r="C437">
        <v>105</v>
      </c>
      <c r="D437">
        <v>4</v>
      </c>
      <c r="E437">
        <v>0.145007</v>
      </c>
      <c r="F437">
        <v>92.25</v>
      </c>
      <c r="G437">
        <v>53.5</v>
      </c>
      <c r="H437">
        <v>0.57994579945799463</v>
      </c>
      <c r="I437">
        <v>97.663600000000002</v>
      </c>
      <c r="J437">
        <v>2.3363999999999998</v>
      </c>
      <c r="K437">
        <v>91.428600000000003</v>
      </c>
      <c r="L437">
        <v>91</v>
      </c>
      <c r="M437">
        <v>100</v>
      </c>
      <c r="N437">
        <v>1332.6731199999999</v>
      </c>
      <c r="O437">
        <v>208.1</v>
      </c>
      <c r="P437">
        <v>1124.3</v>
      </c>
      <c r="Q437">
        <v>0.27311999999999997</v>
      </c>
      <c r="R437">
        <v>124.85898</v>
      </c>
      <c r="S437">
        <v>100</v>
      </c>
      <c r="T437">
        <v>0.95</v>
      </c>
      <c r="U437" t="s">
        <v>17</v>
      </c>
    </row>
    <row r="438" spans="1:21" hidden="1" x14ac:dyDescent="0.25">
      <c r="A438" t="s">
        <v>33</v>
      </c>
      <c r="B438">
        <v>400</v>
      </c>
      <c r="C438">
        <v>105</v>
      </c>
      <c r="D438">
        <v>4</v>
      </c>
      <c r="E438">
        <v>0.13592000000000001</v>
      </c>
      <c r="F438">
        <v>92.25</v>
      </c>
      <c r="G438">
        <v>53.5</v>
      </c>
      <c r="H438">
        <v>0.57994579945799463</v>
      </c>
      <c r="I438">
        <v>97.663600000000002</v>
      </c>
      <c r="J438">
        <v>2.3363999999999998</v>
      </c>
      <c r="K438">
        <v>91.428600000000003</v>
      </c>
      <c r="L438">
        <v>91</v>
      </c>
      <c r="M438">
        <v>100</v>
      </c>
      <c r="N438">
        <v>1332.6731199999999</v>
      </c>
      <c r="O438">
        <v>208.1</v>
      </c>
      <c r="P438">
        <v>1124.3</v>
      </c>
      <c r="Q438">
        <v>0.27311999999999997</v>
      </c>
      <c r="R438">
        <v>124.885627</v>
      </c>
      <c r="S438">
        <v>100</v>
      </c>
      <c r="T438">
        <v>0.95</v>
      </c>
      <c r="U438" t="s">
        <v>17</v>
      </c>
    </row>
    <row r="439" spans="1:21" hidden="1" x14ac:dyDescent="0.25">
      <c r="A439" t="s">
        <v>33</v>
      </c>
      <c r="B439">
        <v>400</v>
      </c>
      <c r="C439">
        <v>105</v>
      </c>
      <c r="D439">
        <v>4</v>
      </c>
      <c r="E439">
        <v>0.133213</v>
      </c>
      <c r="F439">
        <v>92.25</v>
      </c>
      <c r="G439">
        <v>53.5</v>
      </c>
      <c r="H439">
        <v>0.57994579945799463</v>
      </c>
      <c r="I439">
        <v>97.663600000000002</v>
      </c>
      <c r="J439">
        <v>2.3363999999999998</v>
      </c>
      <c r="K439">
        <v>91.428600000000003</v>
      </c>
      <c r="L439">
        <v>91</v>
      </c>
      <c r="M439">
        <v>100</v>
      </c>
      <c r="N439">
        <v>1332.6731199999999</v>
      </c>
      <c r="O439">
        <v>208.1</v>
      </c>
      <c r="P439">
        <v>1124.3</v>
      </c>
      <c r="Q439">
        <v>0.27311999999999997</v>
      </c>
      <c r="R439">
        <v>124.889132</v>
      </c>
      <c r="S439">
        <v>100</v>
      </c>
      <c r="T439">
        <v>0.95</v>
      </c>
      <c r="U439" t="s">
        <v>17</v>
      </c>
    </row>
    <row r="440" spans="1:21" hidden="1" x14ac:dyDescent="0.25">
      <c r="A440" t="s">
        <v>33</v>
      </c>
      <c r="B440">
        <v>400</v>
      </c>
      <c r="C440">
        <v>105</v>
      </c>
      <c r="D440">
        <v>4</v>
      </c>
      <c r="E440">
        <v>0.13445799999999999</v>
      </c>
      <c r="F440">
        <v>92.25</v>
      </c>
      <c r="G440">
        <v>53.5</v>
      </c>
      <c r="H440">
        <v>0.57994579945799463</v>
      </c>
      <c r="I440">
        <v>97.663600000000002</v>
      </c>
      <c r="J440">
        <v>2.3363999999999998</v>
      </c>
      <c r="K440">
        <v>91.428600000000003</v>
      </c>
      <c r="L440">
        <v>91</v>
      </c>
      <c r="M440">
        <v>100</v>
      </c>
      <c r="N440">
        <v>1332.6731199999999</v>
      </c>
      <c r="O440">
        <v>208.1</v>
      </c>
      <c r="P440">
        <v>1124.3</v>
      </c>
      <c r="Q440">
        <v>0.27311999999999997</v>
      </c>
      <c r="R440">
        <v>124.889044</v>
      </c>
      <c r="S440">
        <v>100</v>
      </c>
      <c r="T440">
        <v>0.95</v>
      </c>
      <c r="U440" t="s">
        <v>17</v>
      </c>
    </row>
    <row r="441" spans="1:21" hidden="1" x14ac:dyDescent="0.25">
      <c r="A441" t="s">
        <v>33</v>
      </c>
      <c r="B441">
        <v>400</v>
      </c>
      <c r="C441">
        <v>105</v>
      </c>
      <c r="D441">
        <v>4</v>
      </c>
      <c r="E441">
        <v>0.13275300000000001</v>
      </c>
      <c r="F441">
        <v>92.25</v>
      </c>
      <c r="G441">
        <v>53.5</v>
      </c>
      <c r="H441">
        <v>0.57994579945799463</v>
      </c>
      <c r="I441">
        <v>97.663600000000002</v>
      </c>
      <c r="J441">
        <v>2.3363999999999998</v>
      </c>
      <c r="K441">
        <v>91.428600000000003</v>
      </c>
      <c r="L441">
        <v>91</v>
      </c>
      <c r="M441">
        <v>100</v>
      </c>
      <c r="N441">
        <v>1332.67336</v>
      </c>
      <c r="O441">
        <v>208.1</v>
      </c>
      <c r="P441">
        <v>1124.3</v>
      </c>
      <c r="Q441">
        <v>0.27335999999999999</v>
      </c>
      <c r="R441">
        <v>124.895984</v>
      </c>
      <c r="S441">
        <v>100</v>
      </c>
      <c r="T441">
        <v>0.95</v>
      </c>
      <c r="U441" t="s">
        <v>17</v>
      </c>
    </row>
    <row r="442" spans="1:21" hidden="1" x14ac:dyDescent="0.25">
      <c r="A442" t="s">
        <v>33</v>
      </c>
      <c r="B442">
        <v>400</v>
      </c>
      <c r="C442">
        <v>105</v>
      </c>
      <c r="D442">
        <v>4</v>
      </c>
      <c r="E442">
        <v>0.13376299999999999</v>
      </c>
      <c r="F442">
        <v>92.25</v>
      </c>
      <c r="G442">
        <v>53.5</v>
      </c>
      <c r="H442">
        <v>0.57994579945799463</v>
      </c>
      <c r="I442">
        <v>97.663600000000002</v>
      </c>
      <c r="J442">
        <v>2.3363999999999998</v>
      </c>
      <c r="K442">
        <v>91.428600000000003</v>
      </c>
      <c r="L442">
        <v>91</v>
      </c>
      <c r="M442">
        <v>100</v>
      </c>
      <c r="N442">
        <v>1332.67336</v>
      </c>
      <c r="O442">
        <v>208.1</v>
      </c>
      <c r="P442">
        <v>1124.3</v>
      </c>
      <c r="Q442">
        <v>0.27335999999999999</v>
      </c>
      <c r="R442">
        <v>124.812352</v>
      </c>
      <c r="S442">
        <v>100</v>
      </c>
      <c r="T442">
        <v>0.95</v>
      </c>
      <c r="U442" t="s">
        <v>17</v>
      </c>
    </row>
    <row r="443" spans="1:21" hidden="1" x14ac:dyDescent="0.25">
      <c r="A443" t="s">
        <v>33</v>
      </c>
      <c r="B443">
        <v>400</v>
      </c>
      <c r="C443">
        <v>105</v>
      </c>
      <c r="D443">
        <v>4</v>
      </c>
      <c r="E443">
        <v>0.134572</v>
      </c>
      <c r="F443">
        <v>92.25</v>
      </c>
      <c r="G443">
        <v>53.5</v>
      </c>
      <c r="H443">
        <v>0.57994579945799463</v>
      </c>
      <c r="I443">
        <v>97.663600000000002</v>
      </c>
      <c r="J443">
        <v>2.3363999999999998</v>
      </c>
      <c r="K443">
        <v>91.428600000000003</v>
      </c>
      <c r="L443">
        <v>91</v>
      </c>
      <c r="M443">
        <v>100</v>
      </c>
      <c r="N443">
        <v>1332.67336</v>
      </c>
      <c r="O443">
        <v>208.1</v>
      </c>
      <c r="P443">
        <v>1124.3</v>
      </c>
      <c r="Q443">
        <v>0.27335999999999999</v>
      </c>
      <c r="R443">
        <v>124.83563100000001</v>
      </c>
      <c r="S443">
        <v>100</v>
      </c>
      <c r="T443">
        <v>0.95</v>
      </c>
      <c r="U443" t="s">
        <v>17</v>
      </c>
    </row>
    <row r="444" spans="1:21" hidden="1" x14ac:dyDescent="0.25">
      <c r="A444" t="s">
        <v>33</v>
      </c>
      <c r="B444">
        <v>400</v>
      </c>
      <c r="C444">
        <v>105</v>
      </c>
      <c r="D444">
        <v>4</v>
      </c>
      <c r="E444">
        <v>0.13414699999999999</v>
      </c>
      <c r="F444">
        <v>92.25</v>
      </c>
      <c r="G444">
        <v>53.5</v>
      </c>
      <c r="H444">
        <v>0.57994579945799463</v>
      </c>
      <c r="I444">
        <v>97.663600000000002</v>
      </c>
      <c r="J444">
        <v>2.3363999999999998</v>
      </c>
      <c r="K444">
        <v>91.428600000000003</v>
      </c>
      <c r="L444">
        <v>91</v>
      </c>
      <c r="M444">
        <v>100</v>
      </c>
      <c r="N444">
        <v>1332.67336</v>
      </c>
      <c r="O444">
        <v>208.1</v>
      </c>
      <c r="P444">
        <v>1124.3</v>
      </c>
      <c r="Q444">
        <v>0.27335999999999999</v>
      </c>
      <c r="R444">
        <v>124.83565299999999</v>
      </c>
      <c r="S444">
        <v>100</v>
      </c>
      <c r="T444">
        <v>0.95</v>
      </c>
      <c r="U444" t="s">
        <v>17</v>
      </c>
    </row>
    <row r="445" spans="1:21" hidden="1" x14ac:dyDescent="0.25">
      <c r="A445" t="s">
        <v>33</v>
      </c>
      <c r="B445">
        <v>400</v>
      </c>
      <c r="C445">
        <v>105</v>
      </c>
      <c r="D445">
        <v>4</v>
      </c>
      <c r="E445">
        <v>0.133603</v>
      </c>
      <c r="F445">
        <v>92.25</v>
      </c>
      <c r="G445">
        <v>53.5</v>
      </c>
      <c r="H445">
        <v>0.57994579945799463</v>
      </c>
      <c r="I445">
        <v>97.663600000000002</v>
      </c>
      <c r="J445">
        <v>2.3363999999999998</v>
      </c>
      <c r="K445">
        <v>91.428600000000003</v>
      </c>
      <c r="L445">
        <v>91</v>
      </c>
      <c r="M445">
        <v>100</v>
      </c>
      <c r="N445">
        <v>1332.67336</v>
      </c>
      <c r="O445">
        <v>208.1</v>
      </c>
      <c r="P445">
        <v>1124.3</v>
      </c>
      <c r="Q445">
        <v>0.27335999999999999</v>
      </c>
      <c r="R445">
        <v>124.839124</v>
      </c>
      <c r="S445">
        <v>100</v>
      </c>
      <c r="T445">
        <v>0.95</v>
      </c>
      <c r="U445" t="s">
        <v>17</v>
      </c>
    </row>
    <row r="446" spans="1:21" hidden="1" x14ac:dyDescent="0.25">
      <c r="A446" t="s">
        <v>33</v>
      </c>
      <c r="B446">
        <v>400</v>
      </c>
      <c r="C446">
        <v>105</v>
      </c>
      <c r="D446">
        <v>4</v>
      </c>
      <c r="E446">
        <v>0.133247</v>
      </c>
      <c r="F446">
        <v>92.25</v>
      </c>
      <c r="G446">
        <v>53.5</v>
      </c>
      <c r="H446">
        <v>0.57994579945799463</v>
      </c>
      <c r="I446">
        <v>97.663600000000002</v>
      </c>
      <c r="J446">
        <v>2.3363999999999998</v>
      </c>
      <c r="K446">
        <v>91.428600000000003</v>
      </c>
      <c r="L446">
        <v>91</v>
      </c>
      <c r="M446">
        <v>100</v>
      </c>
      <c r="N446">
        <v>1332.67336</v>
      </c>
      <c r="O446">
        <v>208.1</v>
      </c>
      <c r="P446">
        <v>1124.3</v>
      </c>
      <c r="Q446">
        <v>0.27335999999999999</v>
      </c>
      <c r="R446">
        <v>124.83567499999999</v>
      </c>
      <c r="S446">
        <v>100</v>
      </c>
      <c r="T446">
        <v>0.95</v>
      </c>
      <c r="U446" t="s">
        <v>17</v>
      </c>
    </row>
    <row r="447" spans="1:21" hidden="1" x14ac:dyDescent="0.25">
      <c r="A447" t="s">
        <v>33</v>
      </c>
      <c r="B447">
        <v>400</v>
      </c>
      <c r="C447">
        <v>105</v>
      </c>
      <c r="D447">
        <v>4</v>
      </c>
      <c r="E447">
        <v>0.137873</v>
      </c>
      <c r="F447">
        <v>92.25</v>
      </c>
      <c r="G447">
        <v>53.5</v>
      </c>
      <c r="H447">
        <v>0.57994579945799463</v>
      </c>
      <c r="I447">
        <v>97.663600000000002</v>
      </c>
      <c r="J447">
        <v>2.3363999999999998</v>
      </c>
      <c r="K447">
        <v>91.428600000000003</v>
      </c>
      <c r="L447">
        <v>91</v>
      </c>
      <c r="M447">
        <v>100</v>
      </c>
      <c r="N447">
        <v>1332.67336</v>
      </c>
      <c r="O447">
        <v>208.1</v>
      </c>
      <c r="P447">
        <v>1124.3</v>
      </c>
      <c r="Q447">
        <v>0.27335999999999999</v>
      </c>
      <c r="R447">
        <v>124.835731</v>
      </c>
      <c r="S447">
        <v>100</v>
      </c>
      <c r="T447">
        <v>0.95</v>
      </c>
      <c r="U447" t="s">
        <v>17</v>
      </c>
    </row>
    <row r="448" spans="1:21" hidden="1" x14ac:dyDescent="0.25">
      <c r="A448" t="s">
        <v>33</v>
      </c>
      <c r="B448">
        <v>400</v>
      </c>
      <c r="C448">
        <v>105</v>
      </c>
      <c r="D448">
        <v>4</v>
      </c>
      <c r="E448">
        <v>0.13201599999999999</v>
      </c>
      <c r="F448">
        <v>92.25</v>
      </c>
      <c r="G448">
        <v>53.5</v>
      </c>
      <c r="H448">
        <v>0.57994579945799463</v>
      </c>
      <c r="I448">
        <v>97.663600000000002</v>
      </c>
      <c r="J448">
        <v>2.3363999999999998</v>
      </c>
      <c r="K448">
        <v>91.428600000000003</v>
      </c>
      <c r="L448">
        <v>91</v>
      </c>
      <c r="M448">
        <v>100</v>
      </c>
      <c r="N448">
        <v>1332.67336</v>
      </c>
      <c r="O448">
        <v>208.1</v>
      </c>
      <c r="P448">
        <v>1124.3</v>
      </c>
      <c r="Q448">
        <v>0.27335999999999999</v>
      </c>
      <c r="R448">
        <v>124.80892</v>
      </c>
      <c r="S448">
        <v>100</v>
      </c>
      <c r="T448">
        <v>0.95</v>
      </c>
      <c r="U448" t="s">
        <v>17</v>
      </c>
    </row>
    <row r="449" spans="1:21" hidden="1" x14ac:dyDescent="0.25">
      <c r="A449" t="s">
        <v>33</v>
      </c>
      <c r="B449">
        <v>400</v>
      </c>
      <c r="C449">
        <v>105</v>
      </c>
      <c r="D449">
        <v>4</v>
      </c>
      <c r="E449">
        <v>0.13545099999999999</v>
      </c>
      <c r="F449">
        <v>92.25</v>
      </c>
      <c r="G449">
        <v>53.5</v>
      </c>
      <c r="H449">
        <v>0.57994579945799463</v>
      </c>
      <c r="I449">
        <v>97.663600000000002</v>
      </c>
      <c r="J449">
        <v>2.3363999999999998</v>
      </c>
      <c r="K449">
        <v>92.381</v>
      </c>
      <c r="L449">
        <v>92</v>
      </c>
      <c r="M449">
        <v>100</v>
      </c>
      <c r="N449">
        <v>1332.6739700000001</v>
      </c>
      <c r="O449">
        <v>208.1</v>
      </c>
      <c r="P449">
        <v>1124.3</v>
      </c>
      <c r="Q449">
        <v>0.27396999999999999</v>
      </c>
      <c r="R449">
        <v>124.949124</v>
      </c>
      <c r="S449">
        <v>100</v>
      </c>
      <c r="T449">
        <v>0.95</v>
      </c>
      <c r="U449" t="s">
        <v>17</v>
      </c>
    </row>
    <row r="450" spans="1:21" hidden="1" x14ac:dyDescent="0.25">
      <c r="A450" t="s">
        <v>33</v>
      </c>
      <c r="B450">
        <v>400</v>
      </c>
      <c r="C450">
        <v>105</v>
      </c>
      <c r="D450">
        <v>4</v>
      </c>
      <c r="E450">
        <v>0.13113</v>
      </c>
      <c r="F450">
        <v>92.25</v>
      </c>
      <c r="G450">
        <v>53.5</v>
      </c>
      <c r="H450">
        <v>0.57994579945799463</v>
      </c>
      <c r="I450">
        <v>97.663600000000002</v>
      </c>
      <c r="J450">
        <v>2.3363999999999998</v>
      </c>
      <c r="K450">
        <v>92.381</v>
      </c>
      <c r="L450">
        <v>92</v>
      </c>
      <c r="M450">
        <v>100</v>
      </c>
      <c r="N450">
        <v>1332.6739700000001</v>
      </c>
      <c r="O450">
        <v>208.1</v>
      </c>
      <c r="P450">
        <v>1124.3</v>
      </c>
      <c r="Q450">
        <v>0.27396999999999999</v>
      </c>
      <c r="R450">
        <v>124.97899200000001</v>
      </c>
      <c r="S450">
        <v>100</v>
      </c>
      <c r="T450">
        <v>0.95</v>
      </c>
      <c r="U450" t="s">
        <v>17</v>
      </c>
    </row>
    <row r="451" spans="1:21" hidden="1" x14ac:dyDescent="0.25">
      <c r="A451" t="s">
        <v>33</v>
      </c>
      <c r="B451">
        <v>400</v>
      </c>
      <c r="C451">
        <v>105</v>
      </c>
      <c r="D451">
        <v>4</v>
      </c>
      <c r="E451">
        <v>0.13517799999999999</v>
      </c>
      <c r="F451">
        <v>92.25</v>
      </c>
      <c r="G451">
        <v>53.5</v>
      </c>
      <c r="H451">
        <v>0.57994579945799463</v>
      </c>
      <c r="I451">
        <v>97.663600000000002</v>
      </c>
      <c r="J451">
        <v>2.3363999999999998</v>
      </c>
      <c r="K451">
        <v>92.381</v>
      </c>
      <c r="L451">
        <v>92</v>
      </c>
      <c r="M451">
        <v>100</v>
      </c>
      <c r="N451">
        <v>1332.6743300000001</v>
      </c>
      <c r="O451">
        <v>208.1</v>
      </c>
      <c r="P451">
        <v>1124.3</v>
      </c>
      <c r="Q451">
        <v>0.27433000000000002</v>
      </c>
      <c r="R451">
        <v>124.835758</v>
      </c>
      <c r="S451">
        <v>100</v>
      </c>
      <c r="T451">
        <v>0.95</v>
      </c>
      <c r="U451" t="s">
        <v>17</v>
      </c>
    </row>
    <row r="452" spans="1:21" hidden="1" x14ac:dyDescent="0.25">
      <c r="A452" t="s">
        <v>33</v>
      </c>
      <c r="B452">
        <v>400</v>
      </c>
      <c r="C452">
        <v>105</v>
      </c>
      <c r="D452">
        <v>4</v>
      </c>
      <c r="E452">
        <v>0.13392499999999999</v>
      </c>
      <c r="F452">
        <v>92.25</v>
      </c>
      <c r="G452">
        <v>53.25</v>
      </c>
      <c r="H452">
        <v>0.57723577235772361</v>
      </c>
      <c r="I452">
        <v>97.652600000000007</v>
      </c>
      <c r="J452">
        <v>2.3473999999999999</v>
      </c>
      <c r="K452">
        <v>88.571399999999997</v>
      </c>
      <c r="L452">
        <v>88</v>
      </c>
      <c r="M452">
        <v>100</v>
      </c>
      <c r="N452">
        <v>1336.1708100000001</v>
      </c>
      <c r="O452">
        <v>208.1</v>
      </c>
      <c r="P452">
        <v>1127.8</v>
      </c>
      <c r="Q452">
        <v>0.27081</v>
      </c>
      <c r="R452">
        <v>124.82642800000001</v>
      </c>
      <c r="S452">
        <v>100</v>
      </c>
      <c r="T452">
        <v>0.95</v>
      </c>
      <c r="U452" t="s">
        <v>17</v>
      </c>
    </row>
    <row r="453" spans="1:21" hidden="1" x14ac:dyDescent="0.25">
      <c r="A453" t="s">
        <v>33</v>
      </c>
      <c r="B453">
        <v>400</v>
      </c>
      <c r="C453">
        <v>105</v>
      </c>
      <c r="D453">
        <v>4</v>
      </c>
      <c r="E453">
        <v>0.13366600000000001</v>
      </c>
      <c r="F453">
        <v>92.25</v>
      </c>
      <c r="G453">
        <v>53.25</v>
      </c>
      <c r="H453">
        <v>0.57723577235772361</v>
      </c>
      <c r="I453">
        <v>97.652600000000007</v>
      </c>
      <c r="J453">
        <v>2.3473999999999999</v>
      </c>
      <c r="K453">
        <v>89.523799999999994</v>
      </c>
      <c r="L453">
        <v>89</v>
      </c>
      <c r="M453">
        <v>100</v>
      </c>
      <c r="N453">
        <v>1336.1714199999999</v>
      </c>
      <c r="O453">
        <v>208.1</v>
      </c>
      <c r="P453">
        <v>1127.8</v>
      </c>
      <c r="Q453">
        <v>0.27141999999999999</v>
      </c>
      <c r="R453">
        <v>124.993758</v>
      </c>
      <c r="S453">
        <v>100</v>
      </c>
      <c r="T453">
        <v>0.95</v>
      </c>
      <c r="U453" t="s">
        <v>17</v>
      </c>
    </row>
    <row r="454" spans="1:21" hidden="1" x14ac:dyDescent="0.25">
      <c r="A454" t="s">
        <v>33</v>
      </c>
      <c r="B454">
        <v>400</v>
      </c>
      <c r="C454">
        <v>105</v>
      </c>
      <c r="D454">
        <v>4</v>
      </c>
      <c r="E454">
        <v>0.13436699999999999</v>
      </c>
      <c r="F454">
        <v>92.25</v>
      </c>
      <c r="G454">
        <v>53.25</v>
      </c>
      <c r="H454">
        <v>0.57723577235772361</v>
      </c>
      <c r="I454">
        <v>97.652600000000007</v>
      </c>
      <c r="J454">
        <v>2.3473999999999999</v>
      </c>
      <c r="K454">
        <v>89.523799999999994</v>
      </c>
      <c r="L454">
        <v>89</v>
      </c>
      <c r="M454">
        <v>100</v>
      </c>
      <c r="N454">
        <v>1336.17166</v>
      </c>
      <c r="O454">
        <v>208.1</v>
      </c>
      <c r="P454">
        <v>1127.8</v>
      </c>
      <c r="Q454">
        <v>0.27166000000000001</v>
      </c>
      <c r="R454">
        <v>124.940054</v>
      </c>
      <c r="S454">
        <v>100</v>
      </c>
      <c r="T454">
        <v>0.95</v>
      </c>
      <c r="U454" t="s">
        <v>17</v>
      </c>
    </row>
    <row r="455" spans="1:21" hidden="1" x14ac:dyDescent="0.25">
      <c r="A455" t="s">
        <v>33</v>
      </c>
      <c r="B455">
        <v>400</v>
      </c>
      <c r="C455">
        <v>105</v>
      </c>
      <c r="D455">
        <v>4</v>
      </c>
      <c r="E455">
        <v>0.13353300000000001</v>
      </c>
      <c r="F455">
        <v>92.25</v>
      </c>
      <c r="G455">
        <v>53.25</v>
      </c>
      <c r="H455">
        <v>0.57723577235772361</v>
      </c>
      <c r="I455">
        <v>97.652600000000007</v>
      </c>
      <c r="J455">
        <v>2.3473999999999999</v>
      </c>
      <c r="K455">
        <v>89.523799999999994</v>
      </c>
      <c r="L455">
        <v>89</v>
      </c>
      <c r="M455">
        <v>100</v>
      </c>
      <c r="N455">
        <v>1336.17166</v>
      </c>
      <c r="O455">
        <v>208.1</v>
      </c>
      <c r="P455">
        <v>1127.8</v>
      </c>
      <c r="Q455">
        <v>0.27166000000000001</v>
      </c>
      <c r="R455">
        <v>124.91685699999999</v>
      </c>
      <c r="S455">
        <v>100</v>
      </c>
      <c r="T455">
        <v>0.95</v>
      </c>
      <c r="U455" t="s">
        <v>17</v>
      </c>
    </row>
    <row r="456" spans="1:21" hidden="1" x14ac:dyDescent="0.25">
      <c r="A456" t="s">
        <v>33</v>
      </c>
      <c r="B456">
        <v>400</v>
      </c>
      <c r="C456">
        <v>105</v>
      </c>
      <c r="D456">
        <v>4</v>
      </c>
      <c r="E456">
        <v>0.13453399999999999</v>
      </c>
      <c r="F456">
        <v>92.25</v>
      </c>
      <c r="G456">
        <v>53.25</v>
      </c>
      <c r="H456">
        <v>0.57723577235772361</v>
      </c>
      <c r="I456">
        <v>97.652600000000007</v>
      </c>
      <c r="J456">
        <v>2.3473999999999999</v>
      </c>
      <c r="K456">
        <v>89.523799999999994</v>
      </c>
      <c r="L456">
        <v>89</v>
      </c>
      <c r="M456">
        <v>100</v>
      </c>
      <c r="N456">
        <v>1336.17166</v>
      </c>
      <c r="O456">
        <v>208.1</v>
      </c>
      <c r="P456">
        <v>1127.8</v>
      </c>
      <c r="Q456">
        <v>0.27166000000000001</v>
      </c>
      <c r="R456">
        <v>124.91333</v>
      </c>
      <c r="S456">
        <v>100</v>
      </c>
      <c r="T456">
        <v>0.95</v>
      </c>
      <c r="U456" t="s">
        <v>17</v>
      </c>
    </row>
    <row r="457" spans="1:21" hidden="1" x14ac:dyDescent="0.25">
      <c r="A457" t="s">
        <v>33</v>
      </c>
      <c r="B457">
        <v>400</v>
      </c>
      <c r="C457">
        <v>105</v>
      </c>
      <c r="D457">
        <v>4</v>
      </c>
      <c r="E457">
        <v>0.134461</v>
      </c>
      <c r="F457">
        <v>92.25</v>
      </c>
      <c r="G457">
        <v>53.25</v>
      </c>
      <c r="H457">
        <v>0.57723577235772361</v>
      </c>
      <c r="I457">
        <v>97.652600000000007</v>
      </c>
      <c r="J457">
        <v>2.3473999999999999</v>
      </c>
      <c r="K457">
        <v>89.523799999999994</v>
      </c>
      <c r="L457">
        <v>89</v>
      </c>
      <c r="M457">
        <v>100</v>
      </c>
      <c r="N457">
        <v>1336.17166</v>
      </c>
      <c r="O457">
        <v>208.1</v>
      </c>
      <c r="P457">
        <v>1127.8</v>
      </c>
      <c r="Q457">
        <v>0.27166000000000001</v>
      </c>
      <c r="R457">
        <v>124.909762</v>
      </c>
      <c r="S457">
        <v>100</v>
      </c>
      <c r="T457">
        <v>0.95</v>
      </c>
      <c r="U457" t="s">
        <v>17</v>
      </c>
    </row>
    <row r="458" spans="1:21" hidden="1" x14ac:dyDescent="0.25">
      <c r="A458" t="s">
        <v>33</v>
      </c>
      <c r="B458">
        <v>400</v>
      </c>
      <c r="C458">
        <v>105</v>
      </c>
      <c r="D458">
        <v>4</v>
      </c>
      <c r="E458">
        <v>0.13264200000000001</v>
      </c>
      <c r="F458">
        <v>92.25</v>
      </c>
      <c r="G458">
        <v>53.25</v>
      </c>
      <c r="H458">
        <v>0.57723577235772361</v>
      </c>
      <c r="I458">
        <v>97.652600000000007</v>
      </c>
      <c r="J458">
        <v>2.3473999999999999</v>
      </c>
      <c r="K458">
        <v>89.523799999999994</v>
      </c>
      <c r="L458">
        <v>89</v>
      </c>
      <c r="M458">
        <v>100</v>
      </c>
      <c r="N458">
        <v>1336.17166</v>
      </c>
      <c r="O458">
        <v>208.1</v>
      </c>
      <c r="P458">
        <v>1127.8</v>
      </c>
      <c r="Q458">
        <v>0.27166000000000001</v>
      </c>
      <c r="R458">
        <v>124.940016</v>
      </c>
      <c r="S458">
        <v>100</v>
      </c>
      <c r="T458">
        <v>0.95</v>
      </c>
      <c r="U458" t="s">
        <v>17</v>
      </c>
    </row>
    <row r="459" spans="1:21" hidden="1" x14ac:dyDescent="0.25">
      <c r="A459" t="s">
        <v>33</v>
      </c>
      <c r="B459">
        <v>400</v>
      </c>
      <c r="C459">
        <v>105</v>
      </c>
      <c r="D459">
        <v>4</v>
      </c>
      <c r="E459">
        <v>0.13442299999999999</v>
      </c>
      <c r="F459">
        <v>92.25</v>
      </c>
      <c r="G459">
        <v>53.25</v>
      </c>
      <c r="H459">
        <v>0.57723577235772361</v>
      </c>
      <c r="I459">
        <v>97.652600000000007</v>
      </c>
      <c r="J459">
        <v>2.3473999999999999</v>
      </c>
      <c r="K459">
        <v>89.523799999999994</v>
      </c>
      <c r="L459">
        <v>89</v>
      </c>
      <c r="M459">
        <v>100</v>
      </c>
      <c r="N459">
        <v>1336.17166</v>
      </c>
      <c r="O459">
        <v>208.1</v>
      </c>
      <c r="P459">
        <v>1127.8</v>
      </c>
      <c r="Q459">
        <v>0.27166000000000001</v>
      </c>
      <c r="R459">
        <v>124.913222</v>
      </c>
      <c r="S459">
        <v>100</v>
      </c>
      <c r="T459">
        <v>0.95</v>
      </c>
      <c r="U459" t="s">
        <v>17</v>
      </c>
    </row>
    <row r="460" spans="1:21" hidden="1" x14ac:dyDescent="0.25">
      <c r="A460" t="s">
        <v>33</v>
      </c>
      <c r="B460">
        <v>400</v>
      </c>
      <c r="C460">
        <v>105</v>
      </c>
      <c r="D460">
        <v>4</v>
      </c>
      <c r="E460">
        <v>0.135158</v>
      </c>
      <c r="F460">
        <v>92.25</v>
      </c>
      <c r="G460">
        <v>53.25</v>
      </c>
      <c r="H460">
        <v>0.57723577235772361</v>
      </c>
      <c r="I460">
        <v>97.652600000000007</v>
      </c>
      <c r="J460">
        <v>2.3473999999999999</v>
      </c>
      <c r="K460">
        <v>89.523799999999994</v>
      </c>
      <c r="L460">
        <v>89</v>
      </c>
      <c r="M460">
        <v>100</v>
      </c>
      <c r="N460">
        <v>1336.17166</v>
      </c>
      <c r="O460">
        <v>208.1</v>
      </c>
      <c r="P460">
        <v>1127.8</v>
      </c>
      <c r="Q460">
        <v>0.27166000000000001</v>
      </c>
      <c r="R460">
        <v>124.909842</v>
      </c>
      <c r="S460">
        <v>100</v>
      </c>
      <c r="T460">
        <v>0.95</v>
      </c>
      <c r="U460" t="s">
        <v>17</v>
      </c>
    </row>
    <row r="461" spans="1:21" hidden="1" x14ac:dyDescent="0.25">
      <c r="A461" t="s">
        <v>33</v>
      </c>
      <c r="B461">
        <v>400</v>
      </c>
      <c r="C461">
        <v>105</v>
      </c>
      <c r="D461">
        <v>4</v>
      </c>
      <c r="E461">
        <v>0.132517</v>
      </c>
      <c r="F461">
        <v>92.25</v>
      </c>
      <c r="G461">
        <v>53.25</v>
      </c>
      <c r="H461">
        <v>0.57723577235772361</v>
      </c>
      <c r="I461">
        <v>97.652600000000007</v>
      </c>
      <c r="J461">
        <v>2.3473999999999999</v>
      </c>
      <c r="K461">
        <v>90.476200000000006</v>
      </c>
      <c r="L461">
        <v>90</v>
      </c>
      <c r="M461">
        <v>100</v>
      </c>
      <c r="N461">
        <v>1336.17227</v>
      </c>
      <c r="O461">
        <v>208.1</v>
      </c>
      <c r="P461">
        <v>1127.8</v>
      </c>
      <c r="Q461">
        <v>0.27227000000000001</v>
      </c>
      <c r="R461">
        <v>125.02014699999999</v>
      </c>
      <c r="S461">
        <v>100</v>
      </c>
      <c r="T461">
        <v>0.95</v>
      </c>
      <c r="U461" t="s">
        <v>17</v>
      </c>
    </row>
    <row r="462" spans="1:21" hidden="1" x14ac:dyDescent="0.25">
      <c r="A462" t="s">
        <v>33</v>
      </c>
      <c r="B462">
        <v>400</v>
      </c>
      <c r="C462">
        <v>105</v>
      </c>
      <c r="D462">
        <v>4</v>
      </c>
      <c r="E462">
        <v>0.13200700000000001</v>
      </c>
      <c r="F462">
        <v>92.25</v>
      </c>
      <c r="G462">
        <v>53.25</v>
      </c>
      <c r="H462">
        <v>0.57723577235772361</v>
      </c>
      <c r="I462">
        <v>97.652600000000007</v>
      </c>
      <c r="J462">
        <v>2.3473999999999999</v>
      </c>
      <c r="K462">
        <v>90.476200000000006</v>
      </c>
      <c r="L462">
        <v>90</v>
      </c>
      <c r="M462">
        <v>100</v>
      </c>
      <c r="N462">
        <v>1336.17227</v>
      </c>
      <c r="O462">
        <v>208.1</v>
      </c>
      <c r="P462">
        <v>1127.8</v>
      </c>
      <c r="Q462">
        <v>0.27227000000000001</v>
      </c>
      <c r="R462">
        <v>125.05385699999999</v>
      </c>
      <c r="S462">
        <v>100</v>
      </c>
      <c r="T462">
        <v>0.95</v>
      </c>
      <c r="U462" t="s">
        <v>17</v>
      </c>
    </row>
    <row r="463" spans="1:21" hidden="1" x14ac:dyDescent="0.25">
      <c r="A463" t="s">
        <v>33</v>
      </c>
      <c r="B463">
        <v>400</v>
      </c>
      <c r="C463">
        <v>105</v>
      </c>
      <c r="D463">
        <v>4</v>
      </c>
      <c r="E463">
        <v>0.13369500000000001</v>
      </c>
      <c r="F463">
        <v>92.25</v>
      </c>
      <c r="G463">
        <v>53.25</v>
      </c>
      <c r="H463">
        <v>0.57723577235772361</v>
      </c>
      <c r="I463">
        <v>97.652600000000007</v>
      </c>
      <c r="J463">
        <v>2.3473999999999999</v>
      </c>
      <c r="K463">
        <v>90.476200000000006</v>
      </c>
      <c r="L463">
        <v>90</v>
      </c>
      <c r="M463">
        <v>100</v>
      </c>
      <c r="N463">
        <v>1336.17227</v>
      </c>
      <c r="O463">
        <v>208.1</v>
      </c>
      <c r="P463">
        <v>1127.8</v>
      </c>
      <c r="Q463">
        <v>0.27227000000000001</v>
      </c>
      <c r="R463">
        <v>125.050495</v>
      </c>
      <c r="S463">
        <v>100</v>
      </c>
      <c r="T463">
        <v>0.95</v>
      </c>
      <c r="U463" t="s">
        <v>17</v>
      </c>
    </row>
    <row r="464" spans="1:21" hidden="1" x14ac:dyDescent="0.25">
      <c r="A464" t="s">
        <v>33</v>
      </c>
      <c r="B464">
        <v>400</v>
      </c>
      <c r="C464">
        <v>105</v>
      </c>
      <c r="D464">
        <v>4</v>
      </c>
      <c r="E464">
        <v>0.13580100000000001</v>
      </c>
      <c r="F464">
        <v>92.25</v>
      </c>
      <c r="G464">
        <v>53.25</v>
      </c>
      <c r="H464">
        <v>0.57723577235772361</v>
      </c>
      <c r="I464">
        <v>97.652600000000007</v>
      </c>
      <c r="J464">
        <v>2.3473999999999999</v>
      </c>
      <c r="K464">
        <v>90.476200000000006</v>
      </c>
      <c r="L464">
        <v>90</v>
      </c>
      <c r="M464">
        <v>100</v>
      </c>
      <c r="N464">
        <v>1336.17227</v>
      </c>
      <c r="O464">
        <v>208.1</v>
      </c>
      <c r="P464">
        <v>1127.8</v>
      </c>
      <c r="Q464">
        <v>0.27227000000000001</v>
      </c>
      <c r="R464">
        <v>125.057216</v>
      </c>
      <c r="S464">
        <v>100</v>
      </c>
      <c r="T464">
        <v>0.95</v>
      </c>
      <c r="U464" t="s">
        <v>17</v>
      </c>
    </row>
    <row r="465" spans="1:21" hidden="1" x14ac:dyDescent="0.25">
      <c r="A465" t="s">
        <v>33</v>
      </c>
      <c r="B465">
        <v>400</v>
      </c>
      <c r="C465">
        <v>105</v>
      </c>
      <c r="D465">
        <v>4</v>
      </c>
      <c r="E465">
        <v>0.135825</v>
      </c>
      <c r="F465">
        <v>92.25</v>
      </c>
      <c r="G465">
        <v>53.25</v>
      </c>
      <c r="H465">
        <v>0.57723577235772361</v>
      </c>
      <c r="I465">
        <v>97.652600000000007</v>
      </c>
      <c r="J465">
        <v>2.3473999999999999</v>
      </c>
      <c r="K465">
        <v>90.476200000000006</v>
      </c>
      <c r="L465">
        <v>90</v>
      </c>
      <c r="M465">
        <v>100</v>
      </c>
      <c r="N465">
        <v>1336.17227</v>
      </c>
      <c r="O465">
        <v>208.1</v>
      </c>
      <c r="P465">
        <v>1127.8</v>
      </c>
      <c r="Q465">
        <v>0.27227000000000001</v>
      </c>
      <c r="R465">
        <v>125.053935</v>
      </c>
      <c r="S465">
        <v>100</v>
      </c>
      <c r="T465">
        <v>0.95</v>
      </c>
      <c r="U465" t="s">
        <v>17</v>
      </c>
    </row>
    <row r="466" spans="1:21" hidden="1" x14ac:dyDescent="0.25">
      <c r="A466" t="s">
        <v>33</v>
      </c>
      <c r="B466">
        <v>400</v>
      </c>
      <c r="C466">
        <v>105</v>
      </c>
      <c r="D466">
        <v>4</v>
      </c>
      <c r="E466">
        <v>0.133793</v>
      </c>
      <c r="F466">
        <v>92.25</v>
      </c>
      <c r="G466">
        <v>53.25</v>
      </c>
      <c r="H466">
        <v>0.57723577235772361</v>
      </c>
      <c r="I466">
        <v>97.652600000000007</v>
      </c>
      <c r="J466">
        <v>2.3473999999999999</v>
      </c>
      <c r="K466">
        <v>90.476200000000006</v>
      </c>
      <c r="L466">
        <v>90</v>
      </c>
      <c r="M466">
        <v>100</v>
      </c>
      <c r="N466">
        <v>1336.17227</v>
      </c>
      <c r="O466">
        <v>208.1</v>
      </c>
      <c r="P466">
        <v>1127.8</v>
      </c>
      <c r="Q466">
        <v>0.27227000000000001</v>
      </c>
      <c r="R466">
        <v>125.020214</v>
      </c>
      <c r="S466">
        <v>100</v>
      </c>
      <c r="T466">
        <v>0.95</v>
      </c>
      <c r="U466" t="s">
        <v>17</v>
      </c>
    </row>
    <row r="467" spans="1:21" hidden="1" x14ac:dyDescent="0.25">
      <c r="A467" t="s">
        <v>33</v>
      </c>
      <c r="B467">
        <v>400</v>
      </c>
      <c r="C467">
        <v>105</v>
      </c>
      <c r="D467">
        <v>4</v>
      </c>
      <c r="E467">
        <v>0.13255500000000001</v>
      </c>
      <c r="F467">
        <v>92.25</v>
      </c>
      <c r="G467">
        <v>53.25</v>
      </c>
      <c r="H467">
        <v>0.57723577235772361</v>
      </c>
      <c r="I467">
        <v>97.652600000000007</v>
      </c>
      <c r="J467">
        <v>2.3473999999999999</v>
      </c>
      <c r="K467">
        <v>90.476200000000006</v>
      </c>
      <c r="L467">
        <v>90</v>
      </c>
      <c r="M467">
        <v>100</v>
      </c>
      <c r="N467">
        <v>1336.1725100000001</v>
      </c>
      <c r="O467">
        <v>208.1</v>
      </c>
      <c r="P467">
        <v>1127.8</v>
      </c>
      <c r="Q467">
        <v>0.27250999999999997</v>
      </c>
      <c r="R467">
        <v>124.96993399999999</v>
      </c>
      <c r="S467">
        <v>100</v>
      </c>
      <c r="T467">
        <v>0.95</v>
      </c>
      <c r="U467" t="s">
        <v>17</v>
      </c>
    </row>
    <row r="468" spans="1:21" hidden="1" x14ac:dyDescent="0.25">
      <c r="A468" t="s">
        <v>33</v>
      </c>
      <c r="B468">
        <v>400</v>
      </c>
      <c r="C468">
        <v>105</v>
      </c>
      <c r="D468">
        <v>4</v>
      </c>
      <c r="E468">
        <v>0.13442499999999999</v>
      </c>
      <c r="F468">
        <v>92.25</v>
      </c>
      <c r="G468">
        <v>53.25</v>
      </c>
      <c r="H468">
        <v>0.57723577235772361</v>
      </c>
      <c r="I468">
        <v>97.652600000000007</v>
      </c>
      <c r="J468">
        <v>2.3473999999999999</v>
      </c>
      <c r="K468">
        <v>90.476200000000006</v>
      </c>
      <c r="L468">
        <v>90</v>
      </c>
      <c r="M468">
        <v>100</v>
      </c>
      <c r="N468">
        <v>1336.1725100000001</v>
      </c>
      <c r="O468">
        <v>208.1</v>
      </c>
      <c r="P468">
        <v>1127.8</v>
      </c>
      <c r="Q468">
        <v>0.27250999999999997</v>
      </c>
      <c r="R468">
        <v>124.969944</v>
      </c>
      <c r="S468">
        <v>100</v>
      </c>
      <c r="T468">
        <v>0.95</v>
      </c>
      <c r="U468" t="s">
        <v>17</v>
      </c>
    </row>
    <row r="469" spans="1:21" hidden="1" x14ac:dyDescent="0.25">
      <c r="A469" t="s">
        <v>33</v>
      </c>
      <c r="B469">
        <v>400</v>
      </c>
      <c r="C469">
        <v>105</v>
      </c>
      <c r="D469">
        <v>4</v>
      </c>
      <c r="E469">
        <v>0.133551</v>
      </c>
      <c r="F469">
        <v>92.25</v>
      </c>
      <c r="G469">
        <v>53.25</v>
      </c>
      <c r="H469">
        <v>0.57723577235772361</v>
      </c>
      <c r="I469">
        <v>97.652600000000007</v>
      </c>
      <c r="J469">
        <v>2.3473999999999999</v>
      </c>
      <c r="K469">
        <v>90.476200000000006</v>
      </c>
      <c r="L469">
        <v>90</v>
      </c>
      <c r="M469">
        <v>100</v>
      </c>
      <c r="N469">
        <v>1336.1725100000001</v>
      </c>
      <c r="O469">
        <v>208.1</v>
      </c>
      <c r="P469">
        <v>1127.8</v>
      </c>
      <c r="Q469">
        <v>0.27250999999999997</v>
      </c>
      <c r="R469">
        <v>125.000191</v>
      </c>
      <c r="S469">
        <v>100</v>
      </c>
      <c r="T469">
        <v>0.95</v>
      </c>
      <c r="U469" t="s">
        <v>17</v>
      </c>
    </row>
    <row r="470" spans="1:21" hidden="1" x14ac:dyDescent="0.25">
      <c r="A470" t="s">
        <v>33</v>
      </c>
      <c r="B470">
        <v>400</v>
      </c>
      <c r="C470">
        <v>105</v>
      </c>
      <c r="D470">
        <v>4</v>
      </c>
      <c r="E470">
        <v>0.13323499999999999</v>
      </c>
      <c r="F470">
        <v>92.25</v>
      </c>
      <c r="G470">
        <v>53.25</v>
      </c>
      <c r="H470">
        <v>0.57723577235772361</v>
      </c>
      <c r="I470">
        <v>97.652600000000007</v>
      </c>
      <c r="J470">
        <v>2.3473999999999999</v>
      </c>
      <c r="K470">
        <v>91.428600000000003</v>
      </c>
      <c r="L470">
        <v>91</v>
      </c>
      <c r="M470">
        <v>100</v>
      </c>
      <c r="N470">
        <v>1336.17336</v>
      </c>
      <c r="O470">
        <v>208.1</v>
      </c>
      <c r="P470">
        <v>1127.8</v>
      </c>
      <c r="Q470">
        <v>0.27335999999999999</v>
      </c>
      <c r="R470">
        <v>125.083839</v>
      </c>
      <c r="S470">
        <v>100</v>
      </c>
      <c r="T470">
        <v>0.95</v>
      </c>
      <c r="U470" t="s">
        <v>17</v>
      </c>
    </row>
    <row r="471" spans="1:21" hidden="1" x14ac:dyDescent="0.25">
      <c r="A471" t="s">
        <v>33</v>
      </c>
      <c r="B471">
        <v>400</v>
      </c>
      <c r="C471">
        <v>105</v>
      </c>
      <c r="D471">
        <v>4</v>
      </c>
      <c r="E471">
        <v>0.13312099999999999</v>
      </c>
      <c r="F471">
        <v>92.25</v>
      </c>
      <c r="G471">
        <v>53.25</v>
      </c>
      <c r="H471">
        <v>0.57723577235772361</v>
      </c>
      <c r="I471">
        <v>97.652600000000007</v>
      </c>
      <c r="J471">
        <v>2.3473999999999999</v>
      </c>
      <c r="K471">
        <v>91.428600000000003</v>
      </c>
      <c r="L471">
        <v>91</v>
      </c>
      <c r="M471">
        <v>100</v>
      </c>
      <c r="N471">
        <v>1336.17336</v>
      </c>
      <c r="O471">
        <v>208.1</v>
      </c>
      <c r="P471">
        <v>1127.8</v>
      </c>
      <c r="Q471">
        <v>0.27335999999999999</v>
      </c>
      <c r="R471">
        <v>125.08382400000001</v>
      </c>
      <c r="S471">
        <v>100</v>
      </c>
      <c r="T471">
        <v>0.95</v>
      </c>
      <c r="U471" t="s">
        <v>17</v>
      </c>
    </row>
    <row r="472" spans="1:21" hidden="1" x14ac:dyDescent="0.25">
      <c r="A472" t="s">
        <v>33</v>
      </c>
      <c r="B472">
        <v>400</v>
      </c>
      <c r="C472">
        <v>105</v>
      </c>
      <c r="D472">
        <v>4</v>
      </c>
      <c r="E472">
        <v>0.13755800000000001</v>
      </c>
      <c r="F472">
        <v>92.25</v>
      </c>
      <c r="G472">
        <v>53.25</v>
      </c>
      <c r="H472">
        <v>0.57723577235772361</v>
      </c>
      <c r="I472">
        <v>97.652600000000007</v>
      </c>
      <c r="J472">
        <v>2.3473999999999999</v>
      </c>
      <c r="K472">
        <v>92.381</v>
      </c>
      <c r="L472">
        <v>92</v>
      </c>
      <c r="M472">
        <v>100</v>
      </c>
      <c r="N472">
        <v>1336.1743300000001</v>
      </c>
      <c r="O472">
        <v>208.1</v>
      </c>
      <c r="P472">
        <v>1127.8</v>
      </c>
      <c r="Q472">
        <v>0.27433000000000002</v>
      </c>
      <c r="R472">
        <v>125.114161</v>
      </c>
      <c r="S472">
        <v>100</v>
      </c>
      <c r="T472">
        <v>0.95</v>
      </c>
      <c r="U472" t="s">
        <v>17</v>
      </c>
    </row>
    <row r="473" spans="1:21" hidden="1" x14ac:dyDescent="0.25">
      <c r="A473" t="s">
        <v>33</v>
      </c>
      <c r="B473">
        <v>400</v>
      </c>
      <c r="C473">
        <v>105</v>
      </c>
      <c r="D473">
        <v>4</v>
      </c>
      <c r="E473">
        <v>0.13586899999999999</v>
      </c>
      <c r="F473">
        <v>92.25</v>
      </c>
      <c r="G473">
        <v>53.5</v>
      </c>
      <c r="H473">
        <v>0.57994579945799463</v>
      </c>
      <c r="I473">
        <v>97.663600000000002</v>
      </c>
      <c r="J473">
        <v>2.3363999999999998</v>
      </c>
      <c r="K473">
        <v>89.523799999999994</v>
      </c>
      <c r="L473">
        <v>89</v>
      </c>
      <c r="M473">
        <v>100</v>
      </c>
      <c r="N473">
        <v>1336.4708900000001</v>
      </c>
      <c r="O473">
        <v>208.1</v>
      </c>
      <c r="P473">
        <v>1128.0999999999999</v>
      </c>
      <c r="Q473">
        <v>0.27089000000000002</v>
      </c>
      <c r="R473">
        <v>124.77659300000001</v>
      </c>
      <c r="S473">
        <v>100</v>
      </c>
      <c r="T473">
        <v>0.95</v>
      </c>
      <c r="U473" t="s">
        <v>17</v>
      </c>
    </row>
    <row r="474" spans="1:21" hidden="1" x14ac:dyDescent="0.25">
      <c r="A474" t="s">
        <v>33</v>
      </c>
      <c r="B474">
        <v>400</v>
      </c>
      <c r="C474">
        <v>105</v>
      </c>
      <c r="D474">
        <v>4</v>
      </c>
      <c r="E474">
        <v>0.13653699999999999</v>
      </c>
      <c r="F474">
        <v>92.25</v>
      </c>
      <c r="G474">
        <v>53.5</v>
      </c>
      <c r="H474">
        <v>0.57994579945799463</v>
      </c>
      <c r="I474">
        <v>97.663600000000002</v>
      </c>
      <c r="J474">
        <v>2.3363999999999998</v>
      </c>
      <c r="K474">
        <v>89.523799999999994</v>
      </c>
      <c r="L474">
        <v>89</v>
      </c>
      <c r="M474">
        <v>100</v>
      </c>
      <c r="N474">
        <v>1336.4708900000001</v>
      </c>
      <c r="O474">
        <v>208.1</v>
      </c>
      <c r="P474">
        <v>1128.0999999999999</v>
      </c>
      <c r="Q474">
        <v>0.27089000000000002</v>
      </c>
      <c r="R474">
        <v>124.77642899999999</v>
      </c>
      <c r="S474">
        <v>100</v>
      </c>
      <c r="T474">
        <v>0.95</v>
      </c>
      <c r="U474" t="s">
        <v>17</v>
      </c>
    </row>
    <row r="475" spans="1:21" hidden="1" x14ac:dyDescent="0.25">
      <c r="A475" t="s">
        <v>33</v>
      </c>
      <c r="B475">
        <v>400</v>
      </c>
      <c r="C475">
        <v>105</v>
      </c>
      <c r="D475">
        <v>4</v>
      </c>
      <c r="E475">
        <v>0.13281100000000001</v>
      </c>
      <c r="F475">
        <v>92.25</v>
      </c>
      <c r="G475">
        <v>53.5</v>
      </c>
      <c r="H475">
        <v>0.57994579945799463</v>
      </c>
      <c r="I475">
        <v>97.663600000000002</v>
      </c>
      <c r="J475">
        <v>2.3363999999999998</v>
      </c>
      <c r="K475">
        <v>90.476200000000006</v>
      </c>
      <c r="L475">
        <v>90</v>
      </c>
      <c r="M475">
        <v>100</v>
      </c>
      <c r="N475">
        <v>1336.47174</v>
      </c>
      <c r="O475">
        <v>208.1</v>
      </c>
      <c r="P475">
        <v>1128.0999999999999</v>
      </c>
      <c r="Q475">
        <v>0.27173999999999998</v>
      </c>
      <c r="R475">
        <v>124.863078</v>
      </c>
      <c r="S475">
        <v>100</v>
      </c>
      <c r="T475">
        <v>0.95</v>
      </c>
      <c r="U475" t="s">
        <v>17</v>
      </c>
    </row>
    <row r="476" spans="1:21" hidden="1" x14ac:dyDescent="0.25">
      <c r="A476" t="s">
        <v>33</v>
      </c>
      <c r="B476">
        <v>400</v>
      </c>
      <c r="C476">
        <v>105</v>
      </c>
      <c r="D476">
        <v>4</v>
      </c>
      <c r="E476">
        <v>0.134432</v>
      </c>
      <c r="F476">
        <v>92.25</v>
      </c>
      <c r="G476">
        <v>53.5</v>
      </c>
      <c r="H476">
        <v>0.57994579945799463</v>
      </c>
      <c r="I476">
        <v>97.663600000000002</v>
      </c>
      <c r="J476">
        <v>2.3363999999999998</v>
      </c>
      <c r="K476">
        <v>91.428600000000003</v>
      </c>
      <c r="L476">
        <v>91</v>
      </c>
      <c r="M476">
        <v>100</v>
      </c>
      <c r="N476">
        <v>1336.47336</v>
      </c>
      <c r="O476">
        <v>208.1</v>
      </c>
      <c r="P476">
        <v>1128.0999999999999</v>
      </c>
      <c r="Q476">
        <v>0.27335999999999999</v>
      </c>
      <c r="R476">
        <v>124.839816</v>
      </c>
      <c r="S476">
        <v>100</v>
      </c>
      <c r="T476">
        <v>0.95</v>
      </c>
      <c r="U476" t="s">
        <v>17</v>
      </c>
    </row>
    <row r="477" spans="1:21" hidden="1" x14ac:dyDescent="0.25">
      <c r="A477" t="s">
        <v>33</v>
      </c>
      <c r="B477">
        <v>400</v>
      </c>
      <c r="C477">
        <v>105</v>
      </c>
      <c r="D477">
        <v>4</v>
      </c>
      <c r="E477">
        <v>0.13589000000000001</v>
      </c>
      <c r="F477">
        <v>92.25</v>
      </c>
      <c r="G477">
        <v>53.5</v>
      </c>
      <c r="H477">
        <v>0.57994579945799463</v>
      </c>
      <c r="I477">
        <v>97.663600000000002</v>
      </c>
      <c r="J477">
        <v>2.3363999999999998</v>
      </c>
      <c r="K477">
        <v>92.381</v>
      </c>
      <c r="L477">
        <v>92</v>
      </c>
      <c r="M477">
        <v>100</v>
      </c>
      <c r="N477">
        <v>1336.4736800000001</v>
      </c>
      <c r="O477">
        <v>208.1</v>
      </c>
      <c r="P477">
        <v>1128.0999999999999</v>
      </c>
      <c r="Q477">
        <v>0.27367999999999998</v>
      </c>
      <c r="R477">
        <v>124.982759</v>
      </c>
      <c r="S477">
        <v>100</v>
      </c>
      <c r="T477">
        <v>0.95</v>
      </c>
      <c r="U477" t="s">
        <v>17</v>
      </c>
    </row>
    <row r="478" spans="1:21" hidden="1" x14ac:dyDescent="0.25">
      <c r="A478" t="s">
        <v>33</v>
      </c>
      <c r="B478">
        <v>400</v>
      </c>
      <c r="C478">
        <v>105</v>
      </c>
      <c r="D478">
        <v>4</v>
      </c>
      <c r="E478">
        <v>0.134294</v>
      </c>
      <c r="F478">
        <v>92.25</v>
      </c>
      <c r="G478">
        <v>53.25</v>
      </c>
      <c r="H478">
        <v>0.57723577235772361</v>
      </c>
      <c r="I478">
        <v>97.652600000000007</v>
      </c>
      <c r="J478">
        <v>2.3473999999999999</v>
      </c>
      <c r="K478">
        <v>89.523799999999994</v>
      </c>
      <c r="L478">
        <v>89</v>
      </c>
      <c r="M478">
        <v>100</v>
      </c>
      <c r="N478">
        <v>1339.9711299999999</v>
      </c>
      <c r="O478">
        <v>208.1</v>
      </c>
      <c r="P478">
        <v>1131.5999999999999</v>
      </c>
      <c r="Q478">
        <v>0.27112999999999998</v>
      </c>
      <c r="R478">
        <v>124.970609</v>
      </c>
      <c r="S478">
        <v>100</v>
      </c>
      <c r="T478">
        <v>0.95</v>
      </c>
      <c r="U478" t="s">
        <v>17</v>
      </c>
    </row>
    <row r="479" spans="1:21" hidden="1" x14ac:dyDescent="0.25">
      <c r="A479" t="s">
        <v>33</v>
      </c>
      <c r="B479">
        <v>400</v>
      </c>
      <c r="C479">
        <v>105</v>
      </c>
      <c r="D479">
        <v>4</v>
      </c>
      <c r="E479">
        <v>0.13580800000000001</v>
      </c>
      <c r="F479">
        <v>92.25</v>
      </c>
      <c r="G479">
        <v>53.25</v>
      </c>
      <c r="H479">
        <v>0.57723577235772361</v>
      </c>
      <c r="I479">
        <v>97.652600000000007</v>
      </c>
      <c r="J479">
        <v>2.3473999999999999</v>
      </c>
      <c r="K479">
        <v>89.523799999999994</v>
      </c>
      <c r="L479">
        <v>89</v>
      </c>
      <c r="M479">
        <v>100</v>
      </c>
      <c r="N479">
        <v>1339.9716599999999</v>
      </c>
      <c r="O479">
        <v>208.1</v>
      </c>
      <c r="P479">
        <v>1131.5999999999999</v>
      </c>
      <c r="Q479">
        <v>0.27166000000000001</v>
      </c>
      <c r="R479">
        <v>124.883647</v>
      </c>
      <c r="S479">
        <v>100</v>
      </c>
      <c r="T479">
        <v>0.95</v>
      </c>
      <c r="U479" t="s">
        <v>17</v>
      </c>
    </row>
    <row r="480" spans="1:21" hidden="1" x14ac:dyDescent="0.25">
      <c r="A480" t="s">
        <v>33</v>
      </c>
      <c r="B480">
        <v>400</v>
      </c>
      <c r="C480">
        <v>105</v>
      </c>
      <c r="D480">
        <v>4</v>
      </c>
      <c r="E480">
        <v>0.13419300000000001</v>
      </c>
      <c r="F480">
        <v>92.25</v>
      </c>
      <c r="G480">
        <v>53.25</v>
      </c>
      <c r="H480">
        <v>0.57723577235772361</v>
      </c>
      <c r="I480">
        <v>97.652600000000007</v>
      </c>
      <c r="J480">
        <v>2.3473999999999999</v>
      </c>
      <c r="K480">
        <v>90.476200000000006</v>
      </c>
      <c r="L480">
        <v>90</v>
      </c>
      <c r="M480">
        <v>100</v>
      </c>
      <c r="N480">
        <v>1339.97174</v>
      </c>
      <c r="O480">
        <v>208.1</v>
      </c>
      <c r="P480">
        <v>1131.5999999999999</v>
      </c>
      <c r="Q480">
        <v>0.27173999999999998</v>
      </c>
      <c r="R480">
        <v>125.07759799999999</v>
      </c>
      <c r="S480">
        <v>100</v>
      </c>
      <c r="T480">
        <v>0.95</v>
      </c>
      <c r="U480" t="s">
        <v>17</v>
      </c>
    </row>
    <row r="481" spans="1:21" hidden="1" x14ac:dyDescent="0.25">
      <c r="A481" t="s">
        <v>33</v>
      </c>
      <c r="B481">
        <v>400</v>
      </c>
      <c r="C481">
        <v>105</v>
      </c>
      <c r="D481">
        <v>4</v>
      </c>
      <c r="E481">
        <v>0.13401099999999999</v>
      </c>
      <c r="F481">
        <v>92.25</v>
      </c>
      <c r="G481">
        <v>53.25</v>
      </c>
      <c r="H481">
        <v>0.57723577235772361</v>
      </c>
      <c r="I481">
        <v>97.652600000000007</v>
      </c>
      <c r="J481">
        <v>2.3473999999999999</v>
      </c>
      <c r="K481">
        <v>90.476200000000006</v>
      </c>
      <c r="L481">
        <v>90</v>
      </c>
      <c r="M481">
        <v>100</v>
      </c>
      <c r="N481">
        <v>1339.97227</v>
      </c>
      <c r="O481">
        <v>208.1</v>
      </c>
      <c r="P481">
        <v>1131.5999999999999</v>
      </c>
      <c r="Q481">
        <v>0.27227000000000001</v>
      </c>
      <c r="R481">
        <v>125.020894</v>
      </c>
      <c r="S481">
        <v>100</v>
      </c>
      <c r="T481">
        <v>0.95</v>
      </c>
      <c r="U481" t="s">
        <v>17</v>
      </c>
    </row>
    <row r="482" spans="1:21" hidden="1" x14ac:dyDescent="0.25">
      <c r="A482" t="s">
        <v>34</v>
      </c>
      <c r="B482">
        <v>500</v>
      </c>
      <c r="C482">
        <v>105</v>
      </c>
      <c r="D482">
        <v>4</v>
      </c>
      <c r="E482">
        <v>0.20800299999999999</v>
      </c>
      <c r="F482">
        <v>92.2</v>
      </c>
      <c r="G482">
        <v>63.4</v>
      </c>
      <c r="H482">
        <v>0.68763557483731019</v>
      </c>
      <c r="I482">
        <v>70.346999999999994</v>
      </c>
      <c r="J482">
        <v>29.652999999999999</v>
      </c>
      <c r="K482">
        <v>90.476200000000006</v>
      </c>
      <c r="L482">
        <v>90</v>
      </c>
      <c r="M482">
        <v>100</v>
      </c>
      <c r="N482">
        <v>1346.7731900000001</v>
      </c>
      <c r="O482">
        <v>256.3</v>
      </c>
      <c r="P482">
        <v>1090.2</v>
      </c>
      <c r="Q482">
        <v>0.27318999999999999</v>
      </c>
      <c r="R482">
        <v>151.26542799999999</v>
      </c>
      <c r="S482">
        <v>100</v>
      </c>
      <c r="T482">
        <v>0.95</v>
      </c>
      <c r="U482" t="s">
        <v>18</v>
      </c>
    </row>
    <row r="483" spans="1:21" hidden="1" x14ac:dyDescent="0.25">
      <c r="A483" t="s">
        <v>34</v>
      </c>
      <c r="B483">
        <v>500</v>
      </c>
      <c r="C483">
        <v>105</v>
      </c>
      <c r="D483">
        <v>4</v>
      </c>
      <c r="E483">
        <v>0.206507</v>
      </c>
      <c r="F483">
        <v>92.2</v>
      </c>
      <c r="G483">
        <v>63.2</v>
      </c>
      <c r="H483">
        <v>0.68546637744034711</v>
      </c>
      <c r="I483">
        <v>69.6203</v>
      </c>
      <c r="J483">
        <v>30.3797</v>
      </c>
      <c r="K483">
        <v>94.285700000000006</v>
      </c>
      <c r="L483">
        <v>94</v>
      </c>
      <c r="M483">
        <v>100</v>
      </c>
      <c r="N483">
        <v>1347.8773900000001</v>
      </c>
      <c r="O483">
        <v>256.3</v>
      </c>
      <c r="P483">
        <v>1091.3</v>
      </c>
      <c r="Q483">
        <v>0.27739000000000003</v>
      </c>
      <c r="R483">
        <v>153.35436799999999</v>
      </c>
      <c r="S483">
        <v>100</v>
      </c>
      <c r="T483">
        <v>0.95</v>
      </c>
      <c r="U483" t="s">
        <v>18</v>
      </c>
    </row>
    <row r="484" spans="1:21" hidden="1" x14ac:dyDescent="0.25">
      <c r="A484" t="s">
        <v>34</v>
      </c>
      <c r="B484">
        <v>500</v>
      </c>
      <c r="C484">
        <v>105</v>
      </c>
      <c r="D484">
        <v>4</v>
      </c>
      <c r="E484">
        <v>0.20636299999999999</v>
      </c>
      <c r="F484">
        <v>92.2</v>
      </c>
      <c r="G484">
        <v>62.8</v>
      </c>
      <c r="H484">
        <v>0.68112798264642083</v>
      </c>
      <c r="I484">
        <v>69.745199999999997</v>
      </c>
      <c r="J484">
        <v>30.254799999999999</v>
      </c>
      <c r="K484">
        <v>91.428600000000003</v>
      </c>
      <c r="L484">
        <v>91</v>
      </c>
      <c r="M484">
        <v>100</v>
      </c>
      <c r="N484">
        <v>1357.8748399999999</v>
      </c>
      <c r="O484">
        <v>256.3</v>
      </c>
      <c r="P484">
        <v>1101.3</v>
      </c>
      <c r="Q484">
        <v>0.27483999999999997</v>
      </c>
      <c r="R484">
        <v>151.88910899999999</v>
      </c>
      <c r="S484">
        <v>100</v>
      </c>
      <c r="T484">
        <v>0.95</v>
      </c>
      <c r="U484" t="s">
        <v>18</v>
      </c>
    </row>
    <row r="485" spans="1:21" hidden="1" x14ac:dyDescent="0.25">
      <c r="A485" t="s">
        <v>34</v>
      </c>
      <c r="B485">
        <v>500</v>
      </c>
      <c r="C485">
        <v>105</v>
      </c>
      <c r="D485">
        <v>4</v>
      </c>
      <c r="E485">
        <v>0.203795</v>
      </c>
      <c r="F485">
        <v>92.2</v>
      </c>
      <c r="G485">
        <v>63.2</v>
      </c>
      <c r="H485">
        <v>0.68546637744034711</v>
      </c>
      <c r="I485">
        <v>70.253200000000007</v>
      </c>
      <c r="J485">
        <v>29.7468</v>
      </c>
      <c r="K485">
        <v>88.571399999999997</v>
      </c>
      <c r="L485">
        <v>88</v>
      </c>
      <c r="M485">
        <v>100</v>
      </c>
      <c r="N485">
        <v>1358.0721699999999</v>
      </c>
      <c r="O485">
        <v>256.3</v>
      </c>
      <c r="P485">
        <v>1101.5</v>
      </c>
      <c r="Q485">
        <v>0.27217000000000002</v>
      </c>
      <c r="R485">
        <v>149.582919</v>
      </c>
      <c r="S485">
        <v>100</v>
      </c>
      <c r="T485">
        <v>0.95</v>
      </c>
      <c r="U485" t="s">
        <v>18</v>
      </c>
    </row>
    <row r="486" spans="1:21" hidden="1" x14ac:dyDescent="0.25">
      <c r="A486" t="s">
        <v>34</v>
      </c>
      <c r="B486">
        <v>500</v>
      </c>
      <c r="C486">
        <v>105</v>
      </c>
      <c r="D486">
        <v>4</v>
      </c>
      <c r="E486">
        <v>0.21417600000000001</v>
      </c>
      <c r="F486">
        <v>92.2</v>
      </c>
      <c r="G486">
        <v>62.8</v>
      </c>
      <c r="H486">
        <v>0.68112798264642083</v>
      </c>
      <c r="I486">
        <v>68.471299999999999</v>
      </c>
      <c r="J486">
        <v>31.528700000000001</v>
      </c>
      <c r="K486">
        <v>89.523799999999994</v>
      </c>
      <c r="L486">
        <v>89</v>
      </c>
      <c r="M486">
        <v>100</v>
      </c>
      <c r="N486">
        <v>1362.47246</v>
      </c>
      <c r="O486">
        <v>256.3</v>
      </c>
      <c r="P486">
        <v>1105.9000000000001</v>
      </c>
      <c r="Q486">
        <v>0.27245999999999998</v>
      </c>
      <c r="R486">
        <v>152.908074</v>
      </c>
      <c r="S486">
        <v>100</v>
      </c>
      <c r="T486">
        <v>0.95</v>
      </c>
      <c r="U486" t="s">
        <v>18</v>
      </c>
    </row>
    <row r="487" spans="1:21" hidden="1" x14ac:dyDescent="0.25">
      <c r="A487" t="s">
        <v>34</v>
      </c>
      <c r="B487">
        <v>500</v>
      </c>
      <c r="C487">
        <v>105</v>
      </c>
      <c r="D487">
        <v>4</v>
      </c>
      <c r="E487">
        <v>0.207591</v>
      </c>
      <c r="F487">
        <v>92.2</v>
      </c>
      <c r="G487">
        <v>63</v>
      </c>
      <c r="H487">
        <v>0.68329718004338391</v>
      </c>
      <c r="I487">
        <v>68.254000000000005</v>
      </c>
      <c r="J487">
        <v>31.745999999999999</v>
      </c>
      <c r="K487">
        <v>90.476200000000006</v>
      </c>
      <c r="L487">
        <v>90</v>
      </c>
      <c r="M487">
        <v>100</v>
      </c>
      <c r="N487">
        <v>1363.5731900000001</v>
      </c>
      <c r="O487">
        <v>256.3</v>
      </c>
      <c r="P487">
        <v>1107</v>
      </c>
      <c r="Q487">
        <v>0.27318999999999999</v>
      </c>
      <c r="R487">
        <v>154.45383200000001</v>
      </c>
      <c r="S487">
        <v>100</v>
      </c>
      <c r="T487">
        <v>0.95</v>
      </c>
      <c r="U487" t="s">
        <v>18</v>
      </c>
    </row>
    <row r="488" spans="1:21" hidden="1" x14ac:dyDescent="0.25">
      <c r="A488" t="s">
        <v>34</v>
      </c>
      <c r="B488">
        <v>500</v>
      </c>
      <c r="C488">
        <v>105</v>
      </c>
      <c r="D488">
        <v>4</v>
      </c>
      <c r="E488">
        <v>0.211533</v>
      </c>
      <c r="F488">
        <v>92.2</v>
      </c>
      <c r="G488">
        <v>63</v>
      </c>
      <c r="H488">
        <v>0.68329718004338391</v>
      </c>
      <c r="I488">
        <v>70.158699999999996</v>
      </c>
      <c r="J488">
        <v>29.8413</v>
      </c>
      <c r="K488">
        <v>93.333299999999994</v>
      </c>
      <c r="L488">
        <v>93</v>
      </c>
      <c r="M488">
        <v>100</v>
      </c>
      <c r="N488">
        <v>1363.7765400000001</v>
      </c>
      <c r="O488">
        <v>256.3</v>
      </c>
      <c r="P488">
        <v>1107.2</v>
      </c>
      <c r="Q488">
        <v>0.27654000000000001</v>
      </c>
      <c r="R488">
        <v>151.531128</v>
      </c>
      <c r="S488">
        <v>100</v>
      </c>
      <c r="T488">
        <v>0.95</v>
      </c>
      <c r="U488" t="s">
        <v>18</v>
      </c>
    </row>
    <row r="489" spans="1:21" hidden="1" x14ac:dyDescent="0.25">
      <c r="A489" t="s">
        <v>34</v>
      </c>
      <c r="B489">
        <v>500</v>
      </c>
      <c r="C489">
        <v>105</v>
      </c>
      <c r="D489">
        <v>4</v>
      </c>
      <c r="E489">
        <v>0.204092</v>
      </c>
      <c r="F489">
        <v>92.2</v>
      </c>
      <c r="G489">
        <v>63</v>
      </c>
      <c r="H489">
        <v>0.68329718004338391</v>
      </c>
      <c r="I489">
        <v>68.888900000000007</v>
      </c>
      <c r="J489">
        <v>31.1111</v>
      </c>
      <c r="K489">
        <v>90.476200000000006</v>
      </c>
      <c r="L489">
        <v>90</v>
      </c>
      <c r="M489">
        <v>100</v>
      </c>
      <c r="N489">
        <v>1364.1738700000001</v>
      </c>
      <c r="O489">
        <v>256.3</v>
      </c>
      <c r="P489">
        <v>1107.5999999999999</v>
      </c>
      <c r="Q489">
        <v>0.27387</v>
      </c>
      <c r="R489">
        <v>153.350301</v>
      </c>
      <c r="S489">
        <v>100</v>
      </c>
      <c r="T489">
        <v>0.95</v>
      </c>
      <c r="U489" t="s">
        <v>18</v>
      </c>
    </row>
    <row r="490" spans="1:21" hidden="1" x14ac:dyDescent="0.25">
      <c r="A490" t="s">
        <v>34</v>
      </c>
      <c r="B490">
        <v>500</v>
      </c>
      <c r="C490">
        <v>105</v>
      </c>
      <c r="D490">
        <v>4</v>
      </c>
      <c r="E490">
        <v>0.208008</v>
      </c>
      <c r="F490">
        <v>92.2</v>
      </c>
      <c r="G490">
        <v>62.6</v>
      </c>
      <c r="H490">
        <v>0.67895878524945774</v>
      </c>
      <c r="I490">
        <v>69.968100000000007</v>
      </c>
      <c r="J490">
        <v>30.0319</v>
      </c>
      <c r="K490">
        <v>90.476200000000006</v>
      </c>
      <c r="L490">
        <v>90</v>
      </c>
      <c r="M490">
        <v>100</v>
      </c>
      <c r="N490">
        <v>1364.5731900000001</v>
      </c>
      <c r="O490">
        <v>256.3</v>
      </c>
      <c r="P490">
        <v>1108</v>
      </c>
      <c r="Q490">
        <v>0.27318999999999999</v>
      </c>
      <c r="R490">
        <v>152.24926099999999</v>
      </c>
      <c r="S490">
        <v>100</v>
      </c>
      <c r="T490">
        <v>0.95</v>
      </c>
      <c r="U490" t="s">
        <v>18</v>
      </c>
    </row>
    <row r="491" spans="1:21" hidden="1" x14ac:dyDescent="0.25">
      <c r="A491" t="s">
        <v>34</v>
      </c>
      <c r="B491">
        <v>500</v>
      </c>
      <c r="C491">
        <v>105</v>
      </c>
      <c r="D491">
        <v>4</v>
      </c>
      <c r="E491">
        <v>0.20494899999999999</v>
      </c>
      <c r="F491">
        <v>92.2</v>
      </c>
      <c r="G491">
        <v>63</v>
      </c>
      <c r="H491">
        <v>0.68329718004338391</v>
      </c>
      <c r="I491">
        <v>68.254000000000005</v>
      </c>
      <c r="J491">
        <v>31.745999999999999</v>
      </c>
      <c r="K491">
        <v>88.571399999999997</v>
      </c>
      <c r="L491">
        <v>88</v>
      </c>
      <c r="M491">
        <v>100</v>
      </c>
      <c r="N491">
        <v>1364.7714900000001</v>
      </c>
      <c r="O491">
        <v>256.3</v>
      </c>
      <c r="P491">
        <v>1108.2</v>
      </c>
      <c r="Q491">
        <v>0.27149000000000001</v>
      </c>
      <c r="R491">
        <v>153.41039499999999</v>
      </c>
      <c r="S491">
        <v>100</v>
      </c>
      <c r="T491">
        <v>0.95</v>
      </c>
      <c r="U491" t="s">
        <v>18</v>
      </c>
    </row>
    <row r="492" spans="1:21" hidden="1" x14ac:dyDescent="0.25">
      <c r="A492" t="s">
        <v>34</v>
      </c>
      <c r="B492">
        <v>500</v>
      </c>
      <c r="C492">
        <v>105</v>
      </c>
      <c r="D492">
        <v>4</v>
      </c>
      <c r="E492">
        <v>0.20538999999999999</v>
      </c>
      <c r="F492">
        <v>92.2</v>
      </c>
      <c r="G492">
        <v>63</v>
      </c>
      <c r="H492">
        <v>0.68329718004338391</v>
      </c>
      <c r="I492">
        <v>69.523799999999994</v>
      </c>
      <c r="J492">
        <v>30.476199999999999</v>
      </c>
      <c r="K492">
        <v>90.476200000000006</v>
      </c>
      <c r="L492">
        <v>90</v>
      </c>
      <c r="M492">
        <v>100</v>
      </c>
      <c r="N492">
        <v>1365.7739899999999</v>
      </c>
      <c r="O492">
        <v>256.3</v>
      </c>
      <c r="P492">
        <v>1109.2</v>
      </c>
      <c r="Q492">
        <v>0.27399000000000001</v>
      </c>
      <c r="R492">
        <v>150.94082900000001</v>
      </c>
      <c r="S492">
        <v>100</v>
      </c>
      <c r="T492">
        <v>0.95</v>
      </c>
      <c r="U492" t="s">
        <v>18</v>
      </c>
    </row>
    <row r="493" spans="1:21" hidden="1" x14ac:dyDescent="0.25">
      <c r="A493" t="s">
        <v>34</v>
      </c>
      <c r="B493">
        <v>500</v>
      </c>
      <c r="C493">
        <v>105</v>
      </c>
      <c r="D493">
        <v>4</v>
      </c>
      <c r="E493">
        <v>0.20871000000000001</v>
      </c>
      <c r="F493">
        <v>92.2</v>
      </c>
      <c r="G493">
        <v>62.8</v>
      </c>
      <c r="H493">
        <v>0.68112798264642083</v>
      </c>
      <c r="I493">
        <v>69.4268</v>
      </c>
      <c r="J493">
        <v>30.5732</v>
      </c>
      <c r="K493">
        <v>90.476200000000006</v>
      </c>
      <c r="L493">
        <v>90</v>
      </c>
      <c r="M493">
        <v>100</v>
      </c>
      <c r="N493">
        <v>1366.0738699999999</v>
      </c>
      <c r="O493">
        <v>256.3</v>
      </c>
      <c r="P493">
        <v>1109.5</v>
      </c>
      <c r="Q493">
        <v>0.27387</v>
      </c>
      <c r="R493">
        <v>152.36771200000001</v>
      </c>
      <c r="S493">
        <v>100</v>
      </c>
      <c r="T493">
        <v>0.95</v>
      </c>
      <c r="U493" t="s">
        <v>18</v>
      </c>
    </row>
    <row r="494" spans="1:21" hidden="1" x14ac:dyDescent="0.25">
      <c r="A494" t="s">
        <v>34</v>
      </c>
      <c r="B494">
        <v>500</v>
      </c>
      <c r="C494">
        <v>105</v>
      </c>
      <c r="D494">
        <v>4</v>
      </c>
      <c r="E494">
        <v>0.20227400000000001</v>
      </c>
      <c r="F494">
        <v>92.2</v>
      </c>
      <c r="G494">
        <v>62.8</v>
      </c>
      <c r="H494">
        <v>0.68112798264642083</v>
      </c>
      <c r="I494">
        <v>69.4268</v>
      </c>
      <c r="J494">
        <v>30.5732</v>
      </c>
      <c r="K494">
        <v>93.333299999999994</v>
      </c>
      <c r="L494">
        <v>93</v>
      </c>
      <c r="M494">
        <v>100</v>
      </c>
      <c r="N494">
        <v>1366.2765400000001</v>
      </c>
      <c r="O494">
        <v>256.3</v>
      </c>
      <c r="P494">
        <v>1109.7</v>
      </c>
      <c r="Q494">
        <v>0.27654000000000001</v>
      </c>
      <c r="R494">
        <v>153.735105</v>
      </c>
      <c r="S494">
        <v>100</v>
      </c>
      <c r="T494">
        <v>0.95</v>
      </c>
      <c r="U494" t="s">
        <v>18</v>
      </c>
    </row>
    <row r="495" spans="1:21" hidden="1" x14ac:dyDescent="0.25">
      <c r="A495" t="s">
        <v>34</v>
      </c>
      <c r="B495">
        <v>500</v>
      </c>
      <c r="C495">
        <v>105</v>
      </c>
      <c r="D495">
        <v>4</v>
      </c>
      <c r="E495">
        <v>0.20317099999999999</v>
      </c>
      <c r="F495">
        <v>92.2</v>
      </c>
      <c r="G495">
        <v>62.8</v>
      </c>
      <c r="H495">
        <v>0.68112798264642083</v>
      </c>
      <c r="I495">
        <v>68.7898</v>
      </c>
      <c r="J495">
        <v>31.2102</v>
      </c>
      <c r="K495">
        <v>89.523799999999994</v>
      </c>
      <c r="L495">
        <v>89</v>
      </c>
      <c r="M495">
        <v>100</v>
      </c>
      <c r="N495">
        <v>1366.87246</v>
      </c>
      <c r="O495">
        <v>256.3</v>
      </c>
      <c r="P495">
        <v>1110.3</v>
      </c>
      <c r="Q495">
        <v>0.27245999999999998</v>
      </c>
      <c r="R495">
        <v>153.739011</v>
      </c>
      <c r="S495">
        <v>100</v>
      </c>
      <c r="T495">
        <v>0.95</v>
      </c>
      <c r="U495" t="s">
        <v>18</v>
      </c>
    </row>
    <row r="496" spans="1:21" hidden="1" x14ac:dyDescent="0.25">
      <c r="A496" t="s">
        <v>34</v>
      </c>
      <c r="B496">
        <v>500</v>
      </c>
      <c r="C496">
        <v>105</v>
      </c>
      <c r="D496">
        <v>4</v>
      </c>
      <c r="E496">
        <v>0.202987</v>
      </c>
      <c r="F496">
        <v>92.2</v>
      </c>
      <c r="G496">
        <v>63</v>
      </c>
      <c r="H496">
        <v>0.68329718004338391</v>
      </c>
      <c r="I496">
        <v>68.571399999999997</v>
      </c>
      <c r="J496">
        <v>31.428599999999999</v>
      </c>
      <c r="K496">
        <v>91.428600000000003</v>
      </c>
      <c r="L496">
        <v>91</v>
      </c>
      <c r="M496">
        <v>100</v>
      </c>
      <c r="N496">
        <v>1367.17472</v>
      </c>
      <c r="O496">
        <v>256.3</v>
      </c>
      <c r="P496">
        <v>1110.5999999999999</v>
      </c>
      <c r="Q496">
        <v>0.27472000000000002</v>
      </c>
      <c r="R496">
        <v>151.816768</v>
      </c>
      <c r="S496">
        <v>100</v>
      </c>
      <c r="T496">
        <v>0.95</v>
      </c>
      <c r="U496" t="s">
        <v>18</v>
      </c>
    </row>
    <row r="497" spans="1:21" hidden="1" x14ac:dyDescent="0.25">
      <c r="A497" t="s">
        <v>34</v>
      </c>
      <c r="B497">
        <v>500</v>
      </c>
      <c r="C497">
        <v>105</v>
      </c>
      <c r="D497">
        <v>4</v>
      </c>
      <c r="E497">
        <v>0.210699</v>
      </c>
      <c r="F497">
        <v>92.2</v>
      </c>
      <c r="G497">
        <v>62.8</v>
      </c>
      <c r="H497">
        <v>0.68112798264642083</v>
      </c>
      <c r="I497">
        <v>68.7898</v>
      </c>
      <c r="J497">
        <v>31.2102</v>
      </c>
      <c r="K497">
        <v>89.523799999999994</v>
      </c>
      <c r="L497">
        <v>89</v>
      </c>
      <c r="M497">
        <v>100</v>
      </c>
      <c r="N497">
        <v>1367.8723399999999</v>
      </c>
      <c r="O497">
        <v>256.3</v>
      </c>
      <c r="P497">
        <v>1111.3</v>
      </c>
      <c r="Q497">
        <v>0.27234000000000003</v>
      </c>
      <c r="R497">
        <v>152.99150499999999</v>
      </c>
      <c r="S497">
        <v>100</v>
      </c>
      <c r="T497">
        <v>0.95</v>
      </c>
      <c r="U497" t="s">
        <v>18</v>
      </c>
    </row>
    <row r="498" spans="1:21" hidden="1" x14ac:dyDescent="0.25">
      <c r="A498" t="s">
        <v>34</v>
      </c>
      <c r="B498">
        <v>500</v>
      </c>
      <c r="C498">
        <v>105</v>
      </c>
      <c r="D498">
        <v>4</v>
      </c>
      <c r="E498">
        <v>0.2051</v>
      </c>
      <c r="F498">
        <v>92.2</v>
      </c>
      <c r="G498">
        <v>62.8</v>
      </c>
      <c r="H498">
        <v>0.68112798264642083</v>
      </c>
      <c r="I498">
        <v>69.4268</v>
      </c>
      <c r="J498">
        <v>30.5732</v>
      </c>
      <c r="K498">
        <v>92.381</v>
      </c>
      <c r="L498">
        <v>92</v>
      </c>
      <c r="M498">
        <v>100</v>
      </c>
      <c r="N498">
        <v>1367.8748900000001</v>
      </c>
      <c r="O498">
        <v>256.3</v>
      </c>
      <c r="P498">
        <v>1111.3</v>
      </c>
      <c r="Q498">
        <v>0.27489000000000002</v>
      </c>
      <c r="R498">
        <v>152.56112999999999</v>
      </c>
      <c r="S498">
        <v>100</v>
      </c>
      <c r="T498">
        <v>0.95</v>
      </c>
      <c r="U498" t="s">
        <v>18</v>
      </c>
    </row>
    <row r="499" spans="1:21" hidden="1" x14ac:dyDescent="0.25">
      <c r="A499" t="s">
        <v>34</v>
      </c>
      <c r="B499">
        <v>500</v>
      </c>
      <c r="C499">
        <v>105</v>
      </c>
      <c r="D499">
        <v>4</v>
      </c>
      <c r="E499">
        <v>0.209671</v>
      </c>
      <c r="F499">
        <v>92.2</v>
      </c>
      <c r="G499">
        <v>62.8</v>
      </c>
      <c r="H499">
        <v>0.68112798264642083</v>
      </c>
      <c r="I499">
        <v>69.4268</v>
      </c>
      <c r="J499">
        <v>30.5732</v>
      </c>
      <c r="K499">
        <v>90.476200000000006</v>
      </c>
      <c r="L499">
        <v>90</v>
      </c>
      <c r="M499">
        <v>100</v>
      </c>
      <c r="N499">
        <v>1368.2731900000001</v>
      </c>
      <c r="O499">
        <v>256.3</v>
      </c>
      <c r="P499">
        <v>1111.7</v>
      </c>
      <c r="Q499">
        <v>0.27318999999999999</v>
      </c>
      <c r="R499">
        <v>151.89686900000001</v>
      </c>
      <c r="S499">
        <v>100</v>
      </c>
      <c r="T499">
        <v>0.95</v>
      </c>
      <c r="U499" t="s">
        <v>18</v>
      </c>
    </row>
    <row r="500" spans="1:21" hidden="1" x14ac:dyDescent="0.25">
      <c r="A500" t="s">
        <v>34</v>
      </c>
      <c r="B500">
        <v>500</v>
      </c>
      <c r="C500">
        <v>105</v>
      </c>
      <c r="D500">
        <v>4</v>
      </c>
      <c r="E500">
        <v>0.206286</v>
      </c>
      <c r="F500">
        <v>92.2</v>
      </c>
      <c r="G500">
        <v>62.8</v>
      </c>
      <c r="H500">
        <v>0.68112798264642083</v>
      </c>
      <c r="I500">
        <v>68.7898</v>
      </c>
      <c r="J500">
        <v>31.2102</v>
      </c>
      <c r="K500">
        <v>93.333299999999994</v>
      </c>
      <c r="L500">
        <v>93</v>
      </c>
      <c r="M500">
        <v>100</v>
      </c>
      <c r="N500">
        <v>1368.2764199999999</v>
      </c>
      <c r="O500">
        <v>256.3</v>
      </c>
      <c r="P500">
        <v>1111.7</v>
      </c>
      <c r="Q500">
        <v>0.27642</v>
      </c>
      <c r="R500">
        <v>152.93094199999999</v>
      </c>
      <c r="S500">
        <v>100</v>
      </c>
      <c r="T500">
        <v>0.95</v>
      </c>
      <c r="U500" t="s">
        <v>18</v>
      </c>
    </row>
    <row r="501" spans="1:21" hidden="1" x14ac:dyDescent="0.25">
      <c r="A501" t="s">
        <v>34</v>
      </c>
      <c r="B501">
        <v>500</v>
      </c>
      <c r="C501">
        <v>105</v>
      </c>
      <c r="D501">
        <v>4</v>
      </c>
      <c r="E501">
        <v>0.203013</v>
      </c>
      <c r="F501">
        <v>92.2</v>
      </c>
      <c r="G501">
        <v>62.6</v>
      </c>
      <c r="H501">
        <v>0.67895878524945774</v>
      </c>
      <c r="I501">
        <v>70.606999999999999</v>
      </c>
      <c r="J501">
        <v>29.393000000000001</v>
      </c>
      <c r="K501">
        <v>91.428600000000003</v>
      </c>
      <c r="L501">
        <v>91</v>
      </c>
      <c r="M501">
        <v>100</v>
      </c>
      <c r="N501">
        <v>1368.3748399999999</v>
      </c>
      <c r="O501">
        <v>256.3</v>
      </c>
      <c r="P501">
        <v>1111.8</v>
      </c>
      <c r="Q501">
        <v>0.27483999999999997</v>
      </c>
      <c r="R501">
        <v>150.317733</v>
      </c>
      <c r="S501">
        <v>100</v>
      </c>
      <c r="T501">
        <v>0.95</v>
      </c>
      <c r="U501" t="s">
        <v>18</v>
      </c>
    </row>
    <row r="502" spans="1:21" hidden="1" x14ac:dyDescent="0.25">
      <c r="A502" t="s">
        <v>34</v>
      </c>
      <c r="B502">
        <v>500</v>
      </c>
      <c r="C502">
        <v>105</v>
      </c>
      <c r="D502">
        <v>4</v>
      </c>
      <c r="E502">
        <v>0.20780899999999999</v>
      </c>
      <c r="F502">
        <v>92.2</v>
      </c>
      <c r="G502">
        <v>62.8</v>
      </c>
      <c r="H502">
        <v>0.68112798264642083</v>
      </c>
      <c r="I502">
        <v>68.7898</v>
      </c>
      <c r="J502">
        <v>31.2102</v>
      </c>
      <c r="K502">
        <v>92.381</v>
      </c>
      <c r="L502">
        <v>92</v>
      </c>
      <c r="M502">
        <v>100</v>
      </c>
      <c r="N502">
        <v>1368.67569</v>
      </c>
      <c r="O502">
        <v>256.3</v>
      </c>
      <c r="P502">
        <v>1112.0999999999999</v>
      </c>
      <c r="Q502">
        <v>0.27568999999999999</v>
      </c>
      <c r="R502">
        <v>153.87724399999999</v>
      </c>
      <c r="S502">
        <v>100</v>
      </c>
      <c r="T502">
        <v>0.95</v>
      </c>
      <c r="U502" t="s">
        <v>18</v>
      </c>
    </row>
    <row r="503" spans="1:21" hidden="1" x14ac:dyDescent="0.25">
      <c r="A503" t="s">
        <v>34</v>
      </c>
      <c r="B503">
        <v>500</v>
      </c>
      <c r="C503">
        <v>105</v>
      </c>
      <c r="D503">
        <v>4</v>
      </c>
      <c r="E503">
        <v>0.21673999999999999</v>
      </c>
      <c r="F503">
        <v>92.2</v>
      </c>
      <c r="G503">
        <v>62.4</v>
      </c>
      <c r="H503">
        <v>0.67678958785249455</v>
      </c>
      <c r="I503">
        <v>70.192300000000003</v>
      </c>
      <c r="J503">
        <v>29.807700000000001</v>
      </c>
      <c r="K503">
        <v>92.381</v>
      </c>
      <c r="L503">
        <v>92</v>
      </c>
      <c r="M503">
        <v>100</v>
      </c>
      <c r="N503">
        <v>1368.8756900000001</v>
      </c>
      <c r="O503">
        <v>256.3</v>
      </c>
      <c r="P503">
        <v>1112.3</v>
      </c>
      <c r="Q503">
        <v>0.27568999999999999</v>
      </c>
      <c r="R503">
        <v>151.61933199999999</v>
      </c>
      <c r="S503">
        <v>100</v>
      </c>
      <c r="T503">
        <v>0.95</v>
      </c>
      <c r="U503" t="s">
        <v>18</v>
      </c>
    </row>
    <row r="504" spans="1:21" hidden="1" x14ac:dyDescent="0.25">
      <c r="A504" t="s">
        <v>34</v>
      </c>
      <c r="B504">
        <v>500</v>
      </c>
      <c r="C504">
        <v>105</v>
      </c>
      <c r="D504">
        <v>4</v>
      </c>
      <c r="E504">
        <v>0.214201</v>
      </c>
      <c r="F504">
        <v>92.2</v>
      </c>
      <c r="G504">
        <v>62.8</v>
      </c>
      <c r="H504">
        <v>0.68112798264642083</v>
      </c>
      <c r="I504">
        <v>70.700599999999994</v>
      </c>
      <c r="J504">
        <v>29.299399999999999</v>
      </c>
      <c r="K504">
        <v>89.523799999999994</v>
      </c>
      <c r="L504">
        <v>89</v>
      </c>
      <c r="M504">
        <v>100</v>
      </c>
      <c r="N504">
        <v>1369.0723399999999</v>
      </c>
      <c r="O504">
        <v>256.3</v>
      </c>
      <c r="P504">
        <v>1112.5</v>
      </c>
      <c r="Q504">
        <v>0.27234000000000003</v>
      </c>
      <c r="R504">
        <v>150.55846199999999</v>
      </c>
      <c r="S504">
        <v>100</v>
      </c>
      <c r="T504">
        <v>0.95</v>
      </c>
      <c r="U504" t="s">
        <v>18</v>
      </c>
    </row>
    <row r="505" spans="1:21" hidden="1" x14ac:dyDescent="0.25">
      <c r="A505" t="s">
        <v>34</v>
      </c>
      <c r="B505">
        <v>500</v>
      </c>
      <c r="C505">
        <v>105</v>
      </c>
      <c r="D505">
        <v>4</v>
      </c>
      <c r="E505">
        <v>0.205681</v>
      </c>
      <c r="F505">
        <v>92.2</v>
      </c>
      <c r="G505">
        <v>62.8</v>
      </c>
      <c r="H505">
        <v>0.68112798264642083</v>
      </c>
      <c r="I505">
        <v>70.063699999999997</v>
      </c>
      <c r="J505">
        <v>29.936299999999999</v>
      </c>
      <c r="K505">
        <v>89.523799999999994</v>
      </c>
      <c r="L505">
        <v>89</v>
      </c>
      <c r="M505">
        <v>100</v>
      </c>
      <c r="N505">
        <v>1369.47234</v>
      </c>
      <c r="O505">
        <v>256.3</v>
      </c>
      <c r="P505">
        <v>1112.9000000000001</v>
      </c>
      <c r="Q505">
        <v>0.27234000000000003</v>
      </c>
      <c r="R505">
        <v>149.868775</v>
      </c>
      <c r="S505">
        <v>100</v>
      </c>
      <c r="T505">
        <v>0.95</v>
      </c>
      <c r="U505" t="s">
        <v>18</v>
      </c>
    </row>
    <row r="506" spans="1:21" hidden="1" x14ac:dyDescent="0.25">
      <c r="A506" t="s">
        <v>34</v>
      </c>
      <c r="B506">
        <v>500</v>
      </c>
      <c r="C506">
        <v>105</v>
      </c>
      <c r="D506">
        <v>4</v>
      </c>
      <c r="E506">
        <v>0.209563</v>
      </c>
      <c r="F506">
        <v>92.2</v>
      </c>
      <c r="G506">
        <v>62.8</v>
      </c>
      <c r="H506">
        <v>0.68112798264642083</v>
      </c>
      <c r="I506">
        <v>69.4268</v>
      </c>
      <c r="J506">
        <v>30.5732</v>
      </c>
      <c r="K506">
        <v>93.333299999999994</v>
      </c>
      <c r="L506">
        <v>93</v>
      </c>
      <c r="M506">
        <v>100</v>
      </c>
      <c r="N506">
        <v>1369.87654</v>
      </c>
      <c r="O506">
        <v>256.3</v>
      </c>
      <c r="P506">
        <v>1113.3</v>
      </c>
      <c r="Q506">
        <v>0.27654000000000001</v>
      </c>
      <c r="R506">
        <v>151.75824399999999</v>
      </c>
      <c r="S506">
        <v>100</v>
      </c>
      <c r="T506">
        <v>0.95</v>
      </c>
      <c r="U506" t="s">
        <v>18</v>
      </c>
    </row>
    <row r="507" spans="1:21" hidden="1" x14ac:dyDescent="0.25">
      <c r="A507" t="s">
        <v>34</v>
      </c>
      <c r="B507">
        <v>500</v>
      </c>
      <c r="C507">
        <v>105</v>
      </c>
      <c r="D507">
        <v>4</v>
      </c>
      <c r="E507">
        <v>0.214418</v>
      </c>
      <c r="F507">
        <v>92.2</v>
      </c>
      <c r="G507">
        <v>62.8</v>
      </c>
      <c r="H507">
        <v>0.68112798264642083</v>
      </c>
      <c r="I507">
        <v>68.7898</v>
      </c>
      <c r="J507">
        <v>31.2102</v>
      </c>
      <c r="K507">
        <v>88.571399999999997</v>
      </c>
      <c r="L507">
        <v>88</v>
      </c>
      <c r="M507">
        <v>100</v>
      </c>
      <c r="N507">
        <v>1370.07149</v>
      </c>
      <c r="O507">
        <v>256.3</v>
      </c>
      <c r="P507">
        <v>1113.5</v>
      </c>
      <c r="Q507">
        <v>0.27149000000000001</v>
      </c>
      <c r="R507">
        <v>152.709036</v>
      </c>
      <c r="S507">
        <v>100</v>
      </c>
      <c r="T507">
        <v>0.95</v>
      </c>
      <c r="U507" t="s">
        <v>18</v>
      </c>
    </row>
    <row r="508" spans="1:21" hidden="1" x14ac:dyDescent="0.25">
      <c r="A508" t="s">
        <v>34</v>
      </c>
      <c r="B508">
        <v>500</v>
      </c>
      <c r="C508">
        <v>105</v>
      </c>
      <c r="D508">
        <v>4</v>
      </c>
      <c r="E508">
        <v>0.209924</v>
      </c>
      <c r="F508">
        <v>92.2</v>
      </c>
      <c r="G508">
        <v>62.8</v>
      </c>
      <c r="H508">
        <v>0.68112798264642083</v>
      </c>
      <c r="I508">
        <v>67.834400000000002</v>
      </c>
      <c r="J508">
        <v>32.165599999999998</v>
      </c>
      <c r="K508">
        <v>91.428600000000003</v>
      </c>
      <c r="L508">
        <v>91</v>
      </c>
      <c r="M508">
        <v>100</v>
      </c>
      <c r="N508">
        <v>1370.0741599999999</v>
      </c>
      <c r="O508">
        <v>256.3</v>
      </c>
      <c r="P508">
        <v>1113.5</v>
      </c>
      <c r="Q508">
        <v>0.27416000000000001</v>
      </c>
      <c r="R508">
        <v>154.26033000000001</v>
      </c>
      <c r="S508">
        <v>100</v>
      </c>
      <c r="T508">
        <v>0.95</v>
      </c>
      <c r="U508" t="s">
        <v>18</v>
      </c>
    </row>
    <row r="509" spans="1:21" hidden="1" x14ac:dyDescent="0.25">
      <c r="A509" t="s">
        <v>34</v>
      </c>
      <c r="B509">
        <v>500</v>
      </c>
      <c r="C509">
        <v>105</v>
      </c>
      <c r="D509">
        <v>4</v>
      </c>
      <c r="E509">
        <v>0.20327600000000001</v>
      </c>
      <c r="F509">
        <v>92.2</v>
      </c>
      <c r="G509">
        <v>62.8</v>
      </c>
      <c r="H509">
        <v>0.68112798264642083</v>
      </c>
      <c r="I509">
        <v>69.4268</v>
      </c>
      <c r="J509">
        <v>30.5732</v>
      </c>
      <c r="K509">
        <v>91.428600000000003</v>
      </c>
      <c r="L509">
        <v>91</v>
      </c>
      <c r="M509">
        <v>100</v>
      </c>
      <c r="N509">
        <v>1370.0741599999999</v>
      </c>
      <c r="O509">
        <v>256.3</v>
      </c>
      <c r="P509">
        <v>1113.5</v>
      </c>
      <c r="Q509">
        <v>0.27416000000000001</v>
      </c>
      <c r="R509">
        <v>151.69931299999999</v>
      </c>
      <c r="S509">
        <v>100</v>
      </c>
      <c r="T509">
        <v>0.95</v>
      </c>
      <c r="U509" t="s">
        <v>18</v>
      </c>
    </row>
    <row r="510" spans="1:21" hidden="1" x14ac:dyDescent="0.25">
      <c r="A510" t="s">
        <v>34</v>
      </c>
      <c r="B510">
        <v>500</v>
      </c>
      <c r="C510">
        <v>105</v>
      </c>
      <c r="D510">
        <v>4</v>
      </c>
      <c r="E510">
        <v>0.204099</v>
      </c>
      <c r="F510">
        <v>92.2</v>
      </c>
      <c r="G510">
        <v>62.6</v>
      </c>
      <c r="H510">
        <v>0.67895878524945774</v>
      </c>
      <c r="I510">
        <v>68.690100000000001</v>
      </c>
      <c r="J510">
        <v>31.309899999999999</v>
      </c>
      <c r="K510">
        <v>88.571399999999997</v>
      </c>
      <c r="L510">
        <v>88</v>
      </c>
      <c r="M510">
        <v>100</v>
      </c>
      <c r="N510">
        <v>1370.1714899999999</v>
      </c>
      <c r="O510">
        <v>256.3</v>
      </c>
      <c r="P510">
        <v>1113.5999999999999</v>
      </c>
      <c r="Q510">
        <v>0.27149000000000001</v>
      </c>
      <c r="R510">
        <v>154.295041</v>
      </c>
      <c r="S510">
        <v>100</v>
      </c>
      <c r="T510">
        <v>0.95</v>
      </c>
      <c r="U510" t="s">
        <v>18</v>
      </c>
    </row>
    <row r="511" spans="1:21" hidden="1" x14ac:dyDescent="0.25">
      <c r="A511" t="s">
        <v>34</v>
      </c>
      <c r="B511">
        <v>500</v>
      </c>
      <c r="C511">
        <v>105</v>
      </c>
      <c r="D511">
        <v>4</v>
      </c>
      <c r="E511">
        <v>0.208173</v>
      </c>
      <c r="F511">
        <v>92.2</v>
      </c>
      <c r="G511">
        <v>62.6</v>
      </c>
      <c r="H511">
        <v>0.67895878524945774</v>
      </c>
      <c r="I511">
        <v>69.009600000000006</v>
      </c>
      <c r="J511">
        <v>30.990400000000001</v>
      </c>
      <c r="K511">
        <v>91.428600000000003</v>
      </c>
      <c r="L511">
        <v>91</v>
      </c>
      <c r="M511">
        <v>100</v>
      </c>
      <c r="N511">
        <v>1370.3740399999999</v>
      </c>
      <c r="O511">
        <v>256.3</v>
      </c>
      <c r="P511">
        <v>1113.8</v>
      </c>
      <c r="Q511">
        <v>0.27404000000000001</v>
      </c>
      <c r="R511">
        <v>153.677752</v>
      </c>
      <c r="S511">
        <v>100</v>
      </c>
      <c r="T511">
        <v>0.95</v>
      </c>
      <c r="U511" t="s">
        <v>18</v>
      </c>
    </row>
    <row r="512" spans="1:21" hidden="1" x14ac:dyDescent="0.25">
      <c r="A512" t="s">
        <v>34</v>
      </c>
      <c r="B512">
        <v>500</v>
      </c>
      <c r="C512">
        <v>105</v>
      </c>
      <c r="D512">
        <v>4</v>
      </c>
      <c r="E512">
        <v>0.21387999999999999</v>
      </c>
      <c r="F512">
        <v>92.2</v>
      </c>
      <c r="G512">
        <v>62.8</v>
      </c>
      <c r="H512">
        <v>0.68112798264642083</v>
      </c>
      <c r="I512">
        <v>69.745199999999997</v>
      </c>
      <c r="J512">
        <v>30.254799999999999</v>
      </c>
      <c r="K512">
        <v>90.476200000000006</v>
      </c>
      <c r="L512">
        <v>90</v>
      </c>
      <c r="M512">
        <v>100</v>
      </c>
      <c r="N512">
        <v>1370.47387</v>
      </c>
      <c r="O512">
        <v>256.3</v>
      </c>
      <c r="P512">
        <v>1113.9000000000001</v>
      </c>
      <c r="Q512">
        <v>0.27387</v>
      </c>
      <c r="R512">
        <v>150.635503</v>
      </c>
      <c r="S512">
        <v>100</v>
      </c>
      <c r="T512">
        <v>0.95</v>
      </c>
      <c r="U512" t="s">
        <v>18</v>
      </c>
    </row>
    <row r="513" spans="1:21" hidden="1" x14ac:dyDescent="0.25">
      <c r="A513" t="s">
        <v>34</v>
      </c>
      <c r="B513">
        <v>500</v>
      </c>
      <c r="C513">
        <v>105</v>
      </c>
      <c r="D513">
        <v>4</v>
      </c>
      <c r="E513">
        <v>0.20848</v>
      </c>
      <c r="F513">
        <v>92.2</v>
      </c>
      <c r="G513">
        <v>62.8</v>
      </c>
      <c r="H513">
        <v>0.68112798264642083</v>
      </c>
      <c r="I513">
        <v>68.7898</v>
      </c>
      <c r="J513">
        <v>31.2102</v>
      </c>
      <c r="K513">
        <v>90.476200000000006</v>
      </c>
      <c r="L513">
        <v>90</v>
      </c>
      <c r="M513">
        <v>100</v>
      </c>
      <c r="N513">
        <v>1370.67319</v>
      </c>
      <c r="O513">
        <v>256.3</v>
      </c>
      <c r="P513">
        <v>1114.0999999999999</v>
      </c>
      <c r="Q513">
        <v>0.27318999999999999</v>
      </c>
      <c r="R513">
        <v>152.21877900000001</v>
      </c>
      <c r="S513">
        <v>100</v>
      </c>
      <c r="T513">
        <v>0.95</v>
      </c>
      <c r="U513" t="s">
        <v>18</v>
      </c>
    </row>
    <row r="514" spans="1:21" hidden="1" x14ac:dyDescent="0.25">
      <c r="A514" t="s">
        <v>34</v>
      </c>
      <c r="B514">
        <v>500</v>
      </c>
      <c r="C514">
        <v>105</v>
      </c>
      <c r="D514">
        <v>4</v>
      </c>
      <c r="E514">
        <v>0.206035</v>
      </c>
      <c r="F514">
        <v>92.2</v>
      </c>
      <c r="G514">
        <v>62.8</v>
      </c>
      <c r="H514">
        <v>0.68112798264642083</v>
      </c>
      <c r="I514">
        <v>68.7898</v>
      </c>
      <c r="J514">
        <v>31.2102</v>
      </c>
      <c r="K514">
        <v>90.476200000000006</v>
      </c>
      <c r="L514">
        <v>90</v>
      </c>
      <c r="M514">
        <v>100</v>
      </c>
      <c r="N514">
        <v>1370.6738700000001</v>
      </c>
      <c r="O514">
        <v>256.3</v>
      </c>
      <c r="P514">
        <v>1114.0999999999999</v>
      </c>
      <c r="Q514">
        <v>0.27387</v>
      </c>
      <c r="R514">
        <v>154.17864499999999</v>
      </c>
      <c r="S514">
        <v>100</v>
      </c>
      <c r="T514">
        <v>0.95</v>
      </c>
      <c r="U514" t="s">
        <v>18</v>
      </c>
    </row>
    <row r="515" spans="1:21" hidden="1" x14ac:dyDescent="0.25">
      <c r="A515" t="s">
        <v>34</v>
      </c>
      <c r="B515">
        <v>500</v>
      </c>
      <c r="C515">
        <v>105</v>
      </c>
      <c r="D515">
        <v>4</v>
      </c>
      <c r="E515">
        <v>0.20599799999999999</v>
      </c>
      <c r="F515">
        <v>92.2</v>
      </c>
      <c r="G515">
        <v>62.8</v>
      </c>
      <c r="H515">
        <v>0.68112798264642083</v>
      </c>
      <c r="I515">
        <v>68.7898</v>
      </c>
      <c r="J515">
        <v>31.2102</v>
      </c>
      <c r="K515">
        <v>91.428600000000003</v>
      </c>
      <c r="L515">
        <v>91</v>
      </c>
      <c r="M515">
        <v>100</v>
      </c>
      <c r="N515">
        <v>1370.87472</v>
      </c>
      <c r="O515">
        <v>256.3</v>
      </c>
      <c r="P515">
        <v>1114.3</v>
      </c>
      <c r="Q515">
        <v>0.27472000000000002</v>
      </c>
      <c r="R515">
        <v>151.45513800000001</v>
      </c>
      <c r="S515">
        <v>100</v>
      </c>
      <c r="T515">
        <v>0.95</v>
      </c>
      <c r="U515" t="s">
        <v>18</v>
      </c>
    </row>
    <row r="516" spans="1:21" hidden="1" x14ac:dyDescent="0.25">
      <c r="A516" t="s">
        <v>34</v>
      </c>
      <c r="B516">
        <v>500</v>
      </c>
      <c r="C516">
        <v>105</v>
      </c>
      <c r="D516">
        <v>4</v>
      </c>
      <c r="E516">
        <v>0.20860300000000001</v>
      </c>
      <c r="F516">
        <v>92.2</v>
      </c>
      <c r="G516">
        <v>62.6</v>
      </c>
      <c r="H516">
        <v>0.67895878524945774</v>
      </c>
      <c r="I516">
        <v>69.009600000000006</v>
      </c>
      <c r="J516">
        <v>30.990400000000001</v>
      </c>
      <c r="K516">
        <v>92.381</v>
      </c>
      <c r="L516">
        <v>92</v>
      </c>
      <c r="M516">
        <v>100</v>
      </c>
      <c r="N516">
        <v>1370.9755700000001</v>
      </c>
      <c r="O516">
        <v>256.3</v>
      </c>
      <c r="P516">
        <v>1114.4000000000001</v>
      </c>
      <c r="Q516">
        <v>0.27556999999999998</v>
      </c>
      <c r="R516">
        <v>152.80025699999999</v>
      </c>
      <c r="S516">
        <v>100</v>
      </c>
      <c r="T516">
        <v>0.95</v>
      </c>
      <c r="U516" t="s">
        <v>18</v>
      </c>
    </row>
    <row r="517" spans="1:21" hidden="1" x14ac:dyDescent="0.25">
      <c r="A517" t="s">
        <v>34</v>
      </c>
      <c r="B517">
        <v>500</v>
      </c>
      <c r="C517">
        <v>105</v>
      </c>
      <c r="D517">
        <v>4</v>
      </c>
      <c r="E517">
        <v>0.21340899999999999</v>
      </c>
      <c r="F517">
        <v>92.2</v>
      </c>
      <c r="G517">
        <v>62.8</v>
      </c>
      <c r="H517">
        <v>0.68112798264642083</v>
      </c>
      <c r="I517">
        <v>69.1083</v>
      </c>
      <c r="J517">
        <v>30.8917</v>
      </c>
      <c r="K517">
        <v>89.523799999999994</v>
      </c>
      <c r="L517">
        <v>89</v>
      </c>
      <c r="M517">
        <v>100</v>
      </c>
      <c r="N517">
        <v>1371.07302</v>
      </c>
      <c r="O517">
        <v>256.3</v>
      </c>
      <c r="P517">
        <v>1114.5</v>
      </c>
      <c r="Q517">
        <v>0.27301999999999998</v>
      </c>
      <c r="R517">
        <v>151.252993</v>
      </c>
      <c r="S517">
        <v>100</v>
      </c>
      <c r="T517">
        <v>0.95</v>
      </c>
      <c r="U517" t="s">
        <v>18</v>
      </c>
    </row>
    <row r="518" spans="1:21" hidden="1" x14ac:dyDescent="0.25">
      <c r="A518" t="s">
        <v>34</v>
      </c>
      <c r="B518">
        <v>500</v>
      </c>
      <c r="C518">
        <v>105</v>
      </c>
      <c r="D518">
        <v>4</v>
      </c>
      <c r="E518">
        <v>0.20840800000000001</v>
      </c>
      <c r="F518">
        <v>92.2</v>
      </c>
      <c r="G518">
        <v>62.6</v>
      </c>
      <c r="H518">
        <v>0.67895878524945774</v>
      </c>
      <c r="I518">
        <v>69.329099999999997</v>
      </c>
      <c r="J518">
        <v>30.6709</v>
      </c>
      <c r="K518">
        <v>93.333299999999994</v>
      </c>
      <c r="L518">
        <v>93</v>
      </c>
      <c r="M518">
        <v>100</v>
      </c>
      <c r="N518">
        <v>1371.3758600000001</v>
      </c>
      <c r="O518">
        <v>256.3</v>
      </c>
      <c r="P518">
        <v>1114.8</v>
      </c>
      <c r="Q518">
        <v>0.27585999999999999</v>
      </c>
      <c r="R518">
        <v>152.866005</v>
      </c>
      <c r="S518">
        <v>100</v>
      </c>
      <c r="T518">
        <v>0.95</v>
      </c>
      <c r="U518" t="s">
        <v>18</v>
      </c>
    </row>
    <row r="519" spans="1:21" hidden="1" x14ac:dyDescent="0.25">
      <c r="A519" t="s">
        <v>34</v>
      </c>
      <c r="B519">
        <v>500</v>
      </c>
      <c r="C519">
        <v>105</v>
      </c>
      <c r="D519">
        <v>4</v>
      </c>
      <c r="E519">
        <v>0.20816100000000001</v>
      </c>
      <c r="F519">
        <v>92.2</v>
      </c>
      <c r="G519">
        <v>62.8</v>
      </c>
      <c r="H519">
        <v>0.68112798264642083</v>
      </c>
      <c r="I519">
        <v>68.7898</v>
      </c>
      <c r="J519">
        <v>31.2102</v>
      </c>
      <c r="K519">
        <v>90.476200000000006</v>
      </c>
      <c r="L519">
        <v>90</v>
      </c>
      <c r="M519">
        <v>100</v>
      </c>
      <c r="N519">
        <v>1371.4731899999999</v>
      </c>
      <c r="O519">
        <v>256.3</v>
      </c>
      <c r="P519">
        <v>1114.9000000000001</v>
      </c>
      <c r="Q519">
        <v>0.27318999999999999</v>
      </c>
      <c r="R519">
        <v>153.23070899999999</v>
      </c>
      <c r="S519">
        <v>100</v>
      </c>
      <c r="T519">
        <v>0.95</v>
      </c>
      <c r="U519" t="s">
        <v>18</v>
      </c>
    </row>
    <row r="520" spans="1:21" hidden="1" x14ac:dyDescent="0.25">
      <c r="A520" t="s">
        <v>34</v>
      </c>
      <c r="B520">
        <v>500</v>
      </c>
      <c r="C520">
        <v>105</v>
      </c>
      <c r="D520">
        <v>4</v>
      </c>
      <c r="E520">
        <v>0.210729</v>
      </c>
      <c r="F520">
        <v>92.2</v>
      </c>
      <c r="G520">
        <v>62.8</v>
      </c>
      <c r="H520">
        <v>0.68112798264642083</v>
      </c>
      <c r="I520">
        <v>69.4268</v>
      </c>
      <c r="J520">
        <v>30.5732</v>
      </c>
      <c r="K520">
        <v>90.476200000000006</v>
      </c>
      <c r="L520">
        <v>90</v>
      </c>
      <c r="M520">
        <v>100</v>
      </c>
      <c r="N520">
        <v>1371.4731899999999</v>
      </c>
      <c r="O520">
        <v>256.3</v>
      </c>
      <c r="P520">
        <v>1114.9000000000001</v>
      </c>
      <c r="Q520">
        <v>0.27318999999999999</v>
      </c>
      <c r="R520">
        <v>152.11316299999999</v>
      </c>
      <c r="S520">
        <v>100</v>
      </c>
      <c r="T520">
        <v>0.95</v>
      </c>
      <c r="U520" t="s">
        <v>18</v>
      </c>
    </row>
    <row r="521" spans="1:21" hidden="1" x14ac:dyDescent="0.25">
      <c r="A521" t="s">
        <v>34</v>
      </c>
      <c r="B521">
        <v>500</v>
      </c>
      <c r="C521">
        <v>105</v>
      </c>
      <c r="D521">
        <v>4</v>
      </c>
      <c r="E521">
        <v>0.214335</v>
      </c>
      <c r="F521">
        <v>92.2</v>
      </c>
      <c r="G521">
        <v>62.8</v>
      </c>
      <c r="H521">
        <v>0.68112798264642083</v>
      </c>
      <c r="I521">
        <v>69.4268</v>
      </c>
      <c r="J521">
        <v>30.5732</v>
      </c>
      <c r="K521">
        <v>91.428600000000003</v>
      </c>
      <c r="L521">
        <v>91</v>
      </c>
      <c r="M521">
        <v>100</v>
      </c>
      <c r="N521">
        <v>1371.4740400000001</v>
      </c>
      <c r="O521">
        <v>256.3</v>
      </c>
      <c r="P521">
        <v>1114.9000000000001</v>
      </c>
      <c r="Q521">
        <v>0.27404000000000001</v>
      </c>
      <c r="R521">
        <v>151.80390800000001</v>
      </c>
      <c r="S521">
        <v>100</v>
      </c>
      <c r="T521">
        <v>0.95</v>
      </c>
      <c r="U521" t="s">
        <v>18</v>
      </c>
    </row>
    <row r="522" spans="1:21" hidden="1" x14ac:dyDescent="0.25">
      <c r="A522" t="s">
        <v>34</v>
      </c>
      <c r="B522">
        <v>500</v>
      </c>
      <c r="C522">
        <v>105</v>
      </c>
      <c r="D522">
        <v>4</v>
      </c>
      <c r="E522">
        <v>0.20747099999999999</v>
      </c>
      <c r="F522">
        <v>92.2</v>
      </c>
      <c r="G522">
        <v>62.8</v>
      </c>
      <c r="H522">
        <v>0.68112798264642083</v>
      </c>
      <c r="I522">
        <v>68.7898</v>
      </c>
      <c r="J522">
        <v>31.2102</v>
      </c>
      <c r="K522">
        <v>88.571399999999997</v>
      </c>
      <c r="L522">
        <v>88</v>
      </c>
      <c r="M522">
        <v>100</v>
      </c>
      <c r="N522">
        <v>1371.6714899999999</v>
      </c>
      <c r="O522">
        <v>256.3</v>
      </c>
      <c r="P522">
        <v>1115.0999999999999</v>
      </c>
      <c r="Q522">
        <v>0.27149000000000001</v>
      </c>
      <c r="R522">
        <v>153.06849700000001</v>
      </c>
      <c r="S522">
        <v>100</v>
      </c>
      <c r="T522">
        <v>0.95</v>
      </c>
      <c r="U522" t="s">
        <v>18</v>
      </c>
    </row>
    <row r="523" spans="1:21" hidden="1" x14ac:dyDescent="0.25">
      <c r="A523" t="s">
        <v>34</v>
      </c>
      <c r="B523">
        <v>500</v>
      </c>
      <c r="C523">
        <v>105</v>
      </c>
      <c r="D523">
        <v>4</v>
      </c>
      <c r="E523">
        <v>0.21040600000000001</v>
      </c>
      <c r="F523">
        <v>92.2</v>
      </c>
      <c r="G523">
        <v>62.6</v>
      </c>
      <c r="H523">
        <v>0.67895878524945774</v>
      </c>
      <c r="I523">
        <v>69.009600000000006</v>
      </c>
      <c r="J523">
        <v>30.990400000000001</v>
      </c>
      <c r="K523">
        <v>92.381</v>
      </c>
      <c r="L523">
        <v>92</v>
      </c>
      <c r="M523">
        <v>100</v>
      </c>
      <c r="N523">
        <v>1371.7748899999999</v>
      </c>
      <c r="O523">
        <v>256.3</v>
      </c>
      <c r="P523">
        <v>1115.2</v>
      </c>
      <c r="Q523">
        <v>0.27489000000000002</v>
      </c>
      <c r="R523">
        <v>155.80217500000001</v>
      </c>
      <c r="S523">
        <v>100</v>
      </c>
      <c r="T523">
        <v>0.95</v>
      </c>
      <c r="U523" t="s">
        <v>18</v>
      </c>
    </row>
    <row r="524" spans="1:21" hidden="1" x14ac:dyDescent="0.25">
      <c r="A524" t="s">
        <v>34</v>
      </c>
      <c r="B524">
        <v>500</v>
      </c>
      <c r="C524">
        <v>105</v>
      </c>
      <c r="D524">
        <v>4</v>
      </c>
      <c r="E524">
        <v>0.20593700000000001</v>
      </c>
      <c r="F524">
        <v>92.2</v>
      </c>
      <c r="G524">
        <v>62.8</v>
      </c>
      <c r="H524">
        <v>0.68112798264642083</v>
      </c>
      <c r="I524">
        <v>69.1083</v>
      </c>
      <c r="J524">
        <v>30.8917</v>
      </c>
      <c r="K524">
        <v>90.476200000000006</v>
      </c>
      <c r="L524">
        <v>90</v>
      </c>
      <c r="M524">
        <v>100</v>
      </c>
      <c r="N524">
        <v>1371.8738699999999</v>
      </c>
      <c r="O524">
        <v>256.3</v>
      </c>
      <c r="P524">
        <v>1115.3</v>
      </c>
      <c r="Q524">
        <v>0.27387</v>
      </c>
      <c r="R524">
        <v>151.466767</v>
      </c>
      <c r="S524">
        <v>100</v>
      </c>
      <c r="T524">
        <v>0.95</v>
      </c>
      <c r="U524" t="s">
        <v>18</v>
      </c>
    </row>
    <row r="525" spans="1:21" hidden="1" x14ac:dyDescent="0.25">
      <c r="A525" t="s">
        <v>34</v>
      </c>
      <c r="B525">
        <v>500</v>
      </c>
      <c r="C525">
        <v>105</v>
      </c>
      <c r="D525">
        <v>4</v>
      </c>
      <c r="E525">
        <v>0.20760700000000001</v>
      </c>
      <c r="F525">
        <v>92.2</v>
      </c>
      <c r="G525">
        <v>62.8</v>
      </c>
      <c r="H525">
        <v>0.68112798264642083</v>
      </c>
      <c r="I525">
        <v>69.1083</v>
      </c>
      <c r="J525">
        <v>30.8917</v>
      </c>
      <c r="K525">
        <v>90.476200000000006</v>
      </c>
      <c r="L525">
        <v>90</v>
      </c>
      <c r="M525">
        <v>100</v>
      </c>
      <c r="N525">
        <v>1371.8738699999999</v>
      </c>
      <c r="O525">
        <v>256.3</v>
      </c>
      <c r="P525">
        <v>1115.3</v>
      </c>
      <c r="Q525">
        <v>0.27387</v>
      </c>
      <c r="R525">
        <v>153.03093200000001</v>
      </c>
      <c r="S525">
        <v>100</v>
      </c>
      <c r="T525">
        <v>0.95</v>
      </c>
      <c r="U525" t="s">
        <v>18</v>
      </c>
    </row>
    <row r="526" spans="1:21" hidden="1" x14ac:dyDescent="0.25">
      <c r="A526" t="s">
        <v>34</v>
      </c>
      <c r="B526">
        <v>500</v>
      </c>
      <c r="C526">
        <v>105</v>
      </c>
      <c r="D526">
        <v>4</v>
      </c>
      <c r="E526">
        <v>0.20935000000000001</v>
      </c>
      <c r="F526">
        <v>92.2</v>
      </c>
      <c r="G526">
        <v>62.8</v>
      </c>
      <c r="H526">
        <v>0.68112798264642083</v>
      </c>
      <c r="I526">
        <v>68.7898</v>
      </c>
      <c r="J526">
        <v>31.2102</v>
      </c>
      <c r="K526">
        <v>89.523799999999994</v>
      </c>
      <c r="L526">
        <v>89</v>
      </c>
      <c r="M526">
        <v>100</v>
      </c>
      <c r="N526">
        <v>1372.07302</v>
      </c>
      <c r="O526">
        <v>256.3</v>
      </c>
      <c r="P526">
        <v>1115.5</v>
      </c>
      <c r="Q526">
        <v>0.27301999999999998</v>
      </c>
      <c r="R526">
        <v>153.18247299999999</v>
      </c>
      <c r="S526">
        <v>100</v>
      </c>
      <c r="T526">
        <v>0.95</v>
      </c>
      <c r="U526" t="s">
        <v>18</v>
      </c>
    </row>
    <row r="527" spans="1:21" hidden="1" x14ac:dyDescent="0.25">
      <c r="A527" t="s">
        <v>34</v>
      </c>
      <c r="B527">
        <v>500</v>
      </c>
      <c r="C527">
        <v>105</v>
      </c>
      <c r="D527">
        <v>4</v>
      </c>
      <c r="E527">
        <v>0.2092</v>
      </c>
      <c r="F527">
        <v>92.2</v>
      </c>
      <c r="G527">
        <v>62.8</v>
      </c>
      <c r="H527">
        <v>0.68112798264642083</v>
      </c>
      <c r="I527">
        <v>69.1083</v>
      </c>
      <c r="J527">
        <v>30.8917</v>
      </c>
      <c r="K527">
        <v>92.381</v>
      </c>
      <c r="L527">
        <v>92</v>
      </c>
      <c r="M527">
        <v>100</v>
      </c>
      <c r="N527">
        <v>1372.2750100000001</v>
      </c>
      <c r="O527">
        <v>256.3</v>
      </c>
      <c r="P527">
        <v>1115.7</v>
      </c>
      <c r="Q527">
        <v>0.27500999999999998</v>
      </c>
      <c r="R527">
        <v>152.478725</v>
      </c>
      <c r="S527">
        <v>100</v>
      </c>
      <c r="T527">
        <v>0.95</v>
      </c>
      <c r="U527" t="s">
        <v>18</v>
      </c>
    </row>
    <row r="528" spans="1:21" hidden="1" x14ac:dyDescent="0.25">
      <c r="A528" t="s">
        <v>34</v>
      </c>
      <c r="B528">
        <v>500</v>
      </c>
      <c r="C528">
        <v>105</v>
      </c>
      <c r="D528">
        <v>4</v>
      </c>
      <c r="E528">
        <v>0.20453499999999999</v>
      </c>
      <c r="F528">
        <v>92.2</v>
      </c>
      <c r="G528">
        <v>62.8</v>
      </c>
      <c r="H528">
        <v>0.68112798264642083</v>
      </c>
      <c r="I528">
        <v>68.7898</v>
      </c>
      <c r="J528">
        <v>31.2102</v>
      </c>
      <c r="K528">
        <v>95.238100000000003</v>
      </c>
      <c r="L528">
        <v>95</v>
      </c>
      <c r="M528">
        <v>100</v>
      </c>
      <c r="N528">
        <v>1372.2782400000001</v>
      </c>
      <c r="O528">
        <v>256.3</v>
      </c>
      <c r="P528">
        <v>1115.7</v>
      </c>
      <c r="Q528">
        <v>0.27823999999999999</v>
      </c>
      <c r="R528">
        <v>153.312083</v>
      </c>
      <c r="S528">
        <v>100</v>
      </c>
      <c r="T528">
        <v>0.95</v>
      </c>
      <c r="U528" t="s">
        <v>18</v>
      </c>
    </row>
    <row r="529" spans="1:21" hidden="1" x14ac:dyDescent="0.25">
      <c r="A529" t="s">
        <v>34</v>
      </c>
      <c r="B529">
        <v>500</v>
      </c>
      <c r="C529">
        <v>105</v>
      </c>
      <c r="D529">
        <v>4</v>
      </c>
      <c r="E529">
        <v>0.21143799999999999</v>
      </c>
      <c r="F529">
        <v>92.2</v>
      </c>
      <c r="G529">
        <v>62.8</v>
      </c>
      <c r="H529">
        <v>0.68112798264642083</v>
      </c>
      <c r="I529">
        <v>68.7898</v>
      </c>
      <c r="J529">
        <v>31.2102</v>
      </c>
      <c r="K529">
        <v>91.428600000000003</v>
      </c>
      <c r="L529">
        <v>91</v>
      </c>
      <c r="M529">
        <v>100</v>
      </c>
      <c r="N529">
        <v>1372.4747199999999</v>
      </c>
      <c r="O529">
        <v>256.3</v>
      </c>
      <c r="P529">
        <v>1115.9000000000001</v>
      </c>
      <c r="Q529">
        <v>0.27472000000000002</v>
      </c>
      <c r="R529">
        <v>153.10049599999999</v>
      </c>
      <c r="S529">
        <v>100</v>
      </c>
      <c r="T529">
        <v>0.95</v>
      </c>
      <c r="U529" t="s">
        <v>18</v>
      </c>
    </row>
    <row r="530" spans="1:21" hidden="1" x14ac:dyDescent="0.25">
      <c r="A530" t="s">
        <v>34</v>
      </c>
      <c r="B530">
        <v>500</v>
      </c>
      <c r="C530">
        <v>105</v>
      </c>
      <c r="D530">
        <v>4</v>
      </c>
      <c r="E530">
        <v>0.20322999999999999</v>
      </c>
      <c r="F530">
        <v>92.2</v>
      </c>
      <c r="G530">
        <v>62.6</v>
      </c>
      <c r="H530">
        <v>0.67895878524945774</v>
      </c>
      <c r="I530">
        <v>70.606999999999999</v>
      </c>
      <c r="J530">
        <v>29.393000000000001</v>
      </c>
      <c r="K530">
        <v>88.571399999999997</v>
      </c>
      <c r="L530">
        <v>88</v>
      </c>
      <c r="M530">
        <v>100</v>
      </c>
      <c r="N530">
        <v>1372.9716100000001</v>
      </c>
      <c r="O530">
        <v>256.3</v>
      </c>
      <c r="P530">
        <v>1116.4000000000001</v>
      </c>
      <c r="Q530">
        <v>0.27161000000000002</v>
      </c>
      <c r="R530">
        <v>150.805001</v>
      </c>
      <c r="S530">
        <v>100</v>
      </c>
      <c r="T530">
        <v>0.95</v>
      </c>
      <c r="U530" t="s">
        <v>18</v>
      </c>
    </row>
    <row r="531" spans="1:21" hidden="1" x14ac:dyDescent="0.25">
      <c r="A531" t="s">
        <v>34</v>
      </c>
      <c r="B531">
        <v>500</v>
      </c>
      <c r="C531">
        <v>105</v>
      </c>
      <c r="D531">
        <v>4</v>
      </c>
      <c r="E531">
        <v>0.21284700000000001</v>
      </c>
      <c r="F531">
        <v>92.2</v>
      </c>
      <c r="G531">
        <v>62.6</v>
      </c>
      <c r="H531">
        <v>0.67895878524945774</v>
      </c>
      <c r="I531">
        <v>68.370599999999996</v>
      </c>
      <c r="J531">
        <v>31.6294</v>
      </c>
      <c r="K531">
        <v>90.476200000000006</v>
      </c>
      <c r="L531">
        <v>90</v>
      </c>
      <c r="M531">
        <v>100</v>
      </c>
      <c r="N531">
        <v>1373.37399</v>
      </c>
      <c r="O531">
        <v>256.3</v>
      </c>
      <c r="P531">
        <v>1116.8</v>
      </c>
      <c r="Q531">
        <v>0.27399000000000001</v>
      </c>
      <c r="R531">
        <v>154.63866300000001</v>
      </c>
      <c r="S531">
        <v>100</v>
      </c>
      <c r="T531">
        <v>0.95</v>
      </c>
      <c r="U531" t="s">
        <v>18</v>
      </c>
    </row>
    <row r="532" spans="1:21" hidden="1" x14ac:dyDescent="0.25">
      <c r="A532" t="s">
        <v>34</v>
      </c>
      <c r="B532">
        <v>500</v>
      </c>
      <c r="C532">
        <v>105</v>
      </c>
      <c r="D532">
        <v>4</v>
      </c>
      <c r="E532">
        <v>0.21816099999999999</v>
      </c>
      <c r="F532">
        <v>92.2</v>
      </c>
      <c r="G532">
        <v>62.6</v>
      </c>
      <c r="H532">
        <v>0.67895878524945774</v>
      </c>
      <c r="I532">
        <v>69.329099999999997</v>
      </c>
      <c r="J532">
        <v>30.6709</v>
      </c>
      <c r="K532">
        <v>90.476200000000006</v>
      </c>
      <c r="L532">
        <v>90</v>
      </c>
      <c r="M532">
        <v>100</v>
      </c>
      <c r="N532">
        <v>1374.97399</v>
      </c>
      <c r="O532">
        <v>256.3</v>
      </c>
      <c r="P532">
        <v>1118.4000000000001</v>
      </c>
      <c r="Q532">
        <v>0.27399000000000001</v>
      </c>
      <c r="R532">
        <v>154.20939100000001</v>
      </c>
      <c r="S532">
        <v>100</v>
      </c>
      <c r="T532">
        <v>0.95</v>
      </c>
      <c r="U532" t="s">
        <v>18</v>
      </c>
    </row>
    <row r="533" spans="1:21" hidden="1" x14ac:dyDescent="0.25">
      <c r="A533" t="s">
        <v>34</v>
      </c>
      <c r="B533">
        <v>500</v>
      </c>
      <c r="C533">
        <v>105</v>
      </c>
      <c r="D533">
        <v>4</v>
      </c>
      <c r="E533">
        <v>0.204459</v>
      </c>
      <c r="F533">
        <v>92.2</v>
      </c>
      <c r="G533">
        <v>62.6</v>
      </c>
      <c r="H533">
        <v>0.67895878524945774</v>
      </c>
      <c r="I533">
        <v>69.648600000000002</v>
      </c>
      <c r="J533">
        <v>30.351400000000002</v>
      </c>
      <c r="K533">
        <v>91.428600000000003</v>
      </c>
      <c r="L533">
        <v>91</v>
      </c>
      <c r="M533">
        <v>100</v>
      </c>
      <c r="N533">
        <v>1375.3740399999999</v>
      </c>
      <c r="O533">
        <v>256.3</v>
      </c>
      <c r="P533">
        <v>1118.8</v>
      </c>
      <c r="Q533">
        <v>0.27404000000000001</v>
      </c>
      <c r="R533">
        <v>152.47438</v>
      </c>
      <c r="S533">
        <v>100</v>
      </c>
      <c r="T533">
        <v>0.95</v>
      </c>
      <c r="U533" t="s">
        <v>18</v>
      </c>
    </row>
    <row r="534" spans="1:21" hidden="1" x14ac:dyDescent="0.25">
      <c r="A534" t="s">
        <v>34</v>
      </c>
      <c r="B534">
        <v>500</v>
      </c>
      <c r="C534">
        <v>105</v>
      </c>
      <c r="D534">
        <v>4</v>
      </c>
      <c r="E534">
        <v>0.203657</v>
      </c>
      <c r="F534">
        <v>92.2</v>
      </c>
      <c r="G534">
        <v>62.4</v>
      </c>
      <c r="H534">
        <v>0.67678958785249455</v>
      </c>
      <c r="I534">
        <v>67.948700000000002</v>
      </c>
      <c r="J534">
        <v>32.051299999999998</v>
      </c>
      <c r="K534">
        <v>91.428600000000003</v>
      </c>
      <c r="L534">
        <v>91</v>
      </c>
      <c r="M534">
        <v>100</v>
      </c>
      <c r="N534">
        <v>1375.67472</v>
      </c>
      <c r="O534">
        <v>256.3</v>
      </c>
      <c r="P534">
        <v>1119.0999999999999</v>
      </c>
      <c r="Q534">
        <v>0.27472000000000002</v>
      </c>
      <c r="R534">
        <v>155.39986999999999</v>
      </c>
      <c r="S534">
        <v>100</v>
      </c>
      <c r="T534">
        <v>0.95</v>
      </c>
      <c r="U534" t="s">
        <v>18</v>
      </c>
    </row>
    <row r="535" spans="1:21" hidden="1" x14ac:dyDescent="0.25">
      <c r="A535" t="s">
        <v>34</v>
      </c>
      <c r="B535">
        <v>500</v>
      </c>
      <c r="C535">
        <v>105</v>
      </c>
      <c r="D535">
        <v>4</v>
      </c>
      <c r="E535">
        <v>0.208291</v>
      </c>
      <c r="F535">
        <v>92.2</v>
      </c>
      <c r="G535">
        <v>62.6</v>
      </c>
      <c r="H535">
        <v>0.67895878524945774</v>
      </c>
      <c r="I535">
        <v>69.648600000000002</v>
      </c>
      <c r="J535">
        <v>30.351400000000002</v>
      </c>
      <c r="K535">
        <v>90.476200000000006</v>
      </c>
      <c r="L535">
        <v>90</v>
      </c>
      <c r="M535">
        <v>100</v>
      </c>
      <c r="N535">
        <v>1375.77387</v>
      </c>
      <c r="O535">
        <v>256.3</v>
      </c>
      <c r="P535">
        <v>1119.2</v>
      </c>
      <c r="Q535">
        <v>0.27387</v>
      </c>
      <c r="R535">
        <v>151.88154900000001</v>
      </c>
      <c r="S535">
        <v>100</v>
      </c>
      <c r="T535">
        <v>0.95</v>
      </c>
      <c r="U535" t="s">
        <v>18</v>
      </c>
    </row>
    <row r="536" spans="1:21" hidden="1" x14ac:dyDescent="0.25">
      <c r="A536" t="s">
        <v>34</v>
      </c>
      <c r="B536">
        <v>500</v>
      </c>
      <c r="C536">
        <v>105</v>
      </c>
      <c r="D536">
        <v>4</v>
      </c>
      <c r="E536">
        <v>0.20688500000000001</v>
      </c>
      <c r="F536">
        <v>92.2</v>
      </c>
      <c r="G536">
        <v>62.6</v>
      </c>
      <c r="H536">
        <v>0.67895878524945774</v>
      </c>
      <c r="I536">
        <v>69.009600000000006</v>
      </c>
      <c r="J536">
        <v>30.990400000000001</v>
      </c>
      <c r="K536">
        <v>91.428600000000003</v>
      </c>
      <c r="L536">
        <v>91</v>
      </c>
      <c r="M536">
        <v>100</v>
      </c>
      <c r="N536">
        <v>1375.77404</v>
      </c>
      <c r="O536">
        <v>256.3</v>
      </c>
      <c r="P536">
        <v>1119.2</v>
      </c>
      <c r="Q536">
        <v>0.27404000000000001</v>
      </c>
      <c r="R536">
        <v>153.20556300000001</v>
      </c>
      <c r="S536">
        <v>100</v>
      </c>
      <c r="T536">
        <v>0.95</v>
      </c>
      <c r="U536" t="s">
        <v>18</v>
      </c>
    </row>
    <row r="537" spans="1:21" hidden="1" x14ac:dyDescent="0.25">
      <c r="A537" t="s">
        <v>34</v>
      </c>
      <c r="B537">
        <v>500</v>
      </c>
      <c r="C537">
        <v>105</v>
      </c>
      <c r="D537">
        <v>4</v>
      </c>
      <c r="E537">
        <v>0.21127399999999999</v>
      </c>
      <c r="F537">
        <v>92.2</v>
      </c>
      <c r="G537">
        <v>62.8</v>
      </c>
      <c r="H537">
        <v>0.68112798264642083</v>
      </c>
      <c r="I537">
        <v>68.7898</v>
      </c>
      <c r="J537">
        <v>31.2102</v>
      </c>
      <c r="K537">
        <v>92.381</v>
      </c>
      <c r="L537">
        <v>92</v>
      </c>
      <c r="M537">
        <v>100</v>
      </c>
      <c r="N537">
        <v>1375.87501</v>
      </c>
      <c r="O537">
        <v>256.3</v>
      </c>
      <c r="P537">
        <v>1119.3</v>
      </c>
      <c r="Q537">
        <v>0.27500999999999998</v>
      </c>
      <c r="R537">
        <v>150.20234300000001</v>
      </c>
      <c r="S537">
        <v>100</v>
      </c>
      <c r="T537">
        <v>0.95</v>
      </c>
      <c r="U537" t="s">
        <v>18</v>
      </c>
    </row>
    <row r="538" spans="1:21" hidden="1" x14ac:dyDescent="0.25">
      <c r="A538" t="s">
        <v>34</v>
      </c>
      <c r="B538">
        <v>500</v>
      </c>
      <c r="C538">
        <v>105</v>
      </c>
      <c r="D538">
        <v>4</v>
      </c>
      <c r="E538">
        <v>0.203402</v>
      </c>
      <c r="F538">
        <v>92.2</v>
      </c>
      <c r="G538">
        <v>62.6</v>
      </c>
      <c r="H538">
        <v>0.67895878524945774</v>
      </c>
      <c r="I538">
        <v>68.690100000000001</v>
      </c>
      <c r="J538">
        <v>31.309899999999999</v>
      </c>
      <c r="K538">
        <v>92.381</v>
      </c>
      <c r="L538">
        <v>92</v>
      </c>
      <c r="M538">
        <v>100</v>
      </c>
      <c r="N538">
        <v>1376.17489</v>
      </c>
      <c r="O538">
        <v>256.3</v>
      </c>
      <c r="P538">
        <v>1119.5999999999999</v>
      </c>
      <c r="Q538">
        <v>0.27489000000000002</v>
      </c>
      <c r="R538">
        <v>153.556003</v>
      </c>
      <c r="S538">
        <v>100</v>
      </c>
      <c r="T538">
        <v>0.95</v>
      </c>
      <c r="U538" t="s">
        <v>18</v>
      </c>
    </row>
    <row r="539" spans="1:21" hidden="1" x14ac:dyDescent="0.25">
      <c r="A539" t="s">
        <v>34</v>
      </c>
      <c r="B539">
        <v>500</v>
      </c>
      <c r="C539">
        <v>105</v>
      </c>
      <c r="D539">
        <v>4</v>
      </c>
      <c r="E539">
        <v>0.20984800000000001</v>
      </c>
      <c r="F539">
        <v>92.2</v>
      </c>
      <c r="G539">
        <v>62.6</v>
      </c>
      <c r="H539">
        <v>0.67895878524945774</v>
      </c>
      <c r="I539">
        <v>68.690100000000001</v>
      </c>
      <c r="J539">
        <v>31.309899999999999</v>
      </c>
      <c r="K539">
        <v>90.476200000000006</v>
      </c>
      <c r="L539">
        <v>90</v>
      </c>
      <c r="M539">
        <v>100</v>
      </c>
      <c r="N539">
        <v>1376.3733099999999</v>
      </c>
      <c r="O539">
        <v>256.3</v>
      </c>
      <c r="P539">
        <v>1119.8</v>
      </c>
      <c r="Q539">
        <v>0.27331</v>
      </c>
      <c r="R539">
        <v>153.506812</v>
      </c>
      <c r="S539">
        <v>100</v>
      </c>
      <c r="T539">
        <v>0.95</v>
      </c>
      <c r="U539" t="s">
        <v>18</v>
      </c>
    </row>
    <row r="540" spans="1:21" hidden="1" x14ac:dyDescent="0.25">
      <c r="A540" t="s">
        <v>34</v>
      </c>
      <c r="B540">
        <v>500</v>
      </c>
      <c r="C540">
        <v>105</v>
      </c>
      <c r="D540">
        <v>4</v>
      </c>
      <c r="E540">
        <v>0.211317</v>
      </c>
      <c r="F540">
        <v>92.2</v>
      </c>
      <c r="G540">
        <v>62.6</v>
      </c>
      <c r="H540">
        <v>0.67895878524945774</v>
      </c>
      <c r="I540">
        <v>70.287499999999994</v>
      </c>
      <c r="J540">
        <v>29.712499999999999</v>
      </c>
      <c r="K540">
        <v>91.428600000000003</v>
      </c>
      <c r="L540">
        <v>91</v>
      </c>
      <c r="M540">
        <v>100</v>
      </c>
      <c r="N540">
        <v>1376.57484</v>
      </c>
      <c r="O540">
        <v>256.3</v>
      </c>
      <c r="P540">
        <v>1120</v>
      </c>
      <c r="Q540">
        <v>0.27483999999999997</v>
      </c>
      <c r="R540">
        <v>150.97796</v>
      </c>
      <c r="S540">
        <v>100</v>
      </c>
      <c r="T540">
        <v>0.95</v>
      </c>
      <c r="U540" t="s">
        <v>18</v>
      </c>
    </row>
    <row r="541" spans="1:21" hidden="1" x14ac:dyDescent="0.25">
      <c r="A541" t="s">
        <v>34</v>
      </c>
      <c r="B541">
        <v>500</v>
      </c>
      <c r="C541">
        <v>105</v>
      </c>
      <c r="D541">
        <v>4</v>
      </c>
      <c r="E541">
        <v>0.20916799999999999</v>
      </c>
      <c r="F541">
        <v>92.2</v>
      </c>
      <c r="G541">
        <v>62.6</v>
      </c>
      <c r="H541">
        <v>0.67895878524945774</v>
      </c>
      <c r="I541">
        <v>69.329099999999997</v>
      </c>
      <c r="J541">
        <v>30.6709</v>
      </c>
      <c r="K541">
        <v>92.381</v>
      </c>
      <c r="L541">
        <v>92</v>
      </c>
      <c r="M541">
        <v>100</v>
      </c>
      <c r="N541">
        <v>1376.57501</v>
      </c>
      <c r="O541">
        <v>256.3</v>
      </c>
      <c r="P541">
        <v>1120</v>
      </c>
      <c r="Q541">
        <v>0.27500999999999998</v>
      </c>
      <c r="R541">
        <v>151.34447900000001</v>
      </c>
      <c r="S541">
        <v>100</v>
      </c>
      <c r="T541">
        <v>0.95</v>
      </c>
      <c r="U541" t="s">
        <v>18</v>
      </c>
    </row>
    <row r="542" spans="1:21" hidden="1" x14ac:dyDescent="0.25">
      <c r="A542" t="s">
        <v>34</v>
      </c>
      <c r="B542">
        <v>500</v>
      </c>
      <c r="C542">
        <v>105</v>
      </c>
      <c r="D542">
        <v>4</v>
      </c>
      <c r="E542">
        <v>0.21129300000000001</v>
      </c>
      <c r="F542">
        <v>92.2</v>
      </c>
      <c r="G542">
        <v>62.6</v>
      </c>
      <c r="H542">
        <v>0.67895878524945774</v>
      </c>
      <c r="I542">
        <v>69.968100000000007</v>
      </c>
      <c r="J542">
        <v>30.0319</v>
      </c>
      <c r="K542">
        <v>90.476200000000006</v>
      </c>
      <c r="L542">
        <v>90</v>
      </c>
      <c r="M542">
        <v>100</v>
      </c>
      <c r="N542">
        <v>1376.9731899999999</v>
      </c>
      <c r="O542">
        <v>256.3</v>
      </c>
      <c r="P542">
        <v>1120.4000000000001</v>
      </c>
      <c r="Q542">
        <v>0.27318999999999999</v>
      </c>
      <c r="R542">
        <v>150.236648</v>
      </c>
      <c r="S542">
        <v>100</v>
      </c>
      <c r="T542">
        <v>0.95</v>
      </c>
      <c r="U542" t="s">
        <v>18</v>
      </c>
    </row>
    <row r="543" spans="1:21" hidden="1" x14ac:dyDescent="0.25">
      <c r="A543" t="s">
        <v>34</v>
      </c>
      <c r="B543">
        <v>500</v>
      </c>
      <c r="C543">
        <v>105</v>
      </c>
      <c r="D543">
        <v>4</v>
      </c>
      <c r="E543">
        <v>0.211839</v>
      </c>
      <c r="F543">
        <v>92.2</v>
      </c>
      <c r="G543">
        <v>62.6</v>
      </c>
      <c r="H543">
        <v>0.67895878524945774</v>
      </c>
      <c r="I543">
        <v>69.329099999999997</v>
      </c>
      <c r="J543">
        <v>30.6709</v>
      </c>
      <c r="K543">
        <v>91.428600000000003</v>
      </c>
      <c r="L543">
        <v>91</v>
      </c>
      <c r="M543">
        <v>100</v>
      </c>
      <c r="N543">
        <v>1376.97416</v>
      </c>
      <c r="O543">
        <v>256.3</v>
      </c>
      <c r="P543">
        <v>1120.4000000000001</v>
      </c>
      <c r="Q543">
        <v>0.27416000000000001</v>
      </c>
      <c r="R543">
        <v>153.91741500000001</v>
      </c>
      <c r="S543">
        <v>100</v>
      </c>
      <c r="T543">
        <v>0.95</v>
      </c>
      <c r="U543" t="s">
        <v>18</v>
      </c>
    </row>
    <row r="544" spans="1:21" hidden="1" x14ac:dyDescent="0.25">
      <c r="A544" t="s">
        <v>34</v>
      </c>
      <c r="B544">
        <v>500</v>
      </c>
      <c r="C544">
        <v>105</v>
      </c>
      <c r="D544">
        <v>4</v>
      </c>
      <c r="E544">
        <v>0.20710300000000001</v>
      </c>
      <c r="F544">
        <v>92.2</v>
      </c>
      <c r="G544">
        <v>62.6</v>
      </c>
      <c r="H544">
        <v>0.67895878524945774</v>
      </c>
      <c r="I544">
        <v>69.968100000000007</v>
      </c>
      <c r="J544">
        <v>30.0319</v>
      </c>
      <c r="K544">
        <v>94.285700000000006</v>
      </c>
      <c r="L544">
        <v>94</v>
      </c>
      <c r="M544">
        <v>100</v>
      </c>
      <c r="N544">
        <v>1377.1773900000001</v>
      </c>
      <c r="O544">
        <v>256.3</v>
      </c>
      <c r="P544">
        <v>1120.5999999999999</v>
      </c>
      <c r="Q544">
        <v>0.27739000000000003</v>
      </c>
      <c r="R544">
        <v>150.614451</v>
      </c>
      <c r="S544">
        <v>100</v>
      </c>
      <c r="T544">
        <v>0.95</v>
      </c>
      <c r="U544" t="s">
        <v>18</v>
      </c>
    </row>
    <row r="545" spans="1:21" hidden="1" x14ac:dyDescent="0.25">
      <c r="A545" t="s">
        <v>34</v>
      </c>
      <c r="B545">
        <v>500</v>
      </c>
      <c r="C545">
        <v>105</v>
      </c>
      <c r="D545">
        <v>4</v>
      </c>
      <c r="E545">
        <v>0.20849899999999999</v>
      </c>
      <c r="F545">
        <v>92.2</v>
      </c>
      <c r="G545">
        <v>62.6</v>
      </c>
      <c r="H545">
        <v>0.67895878524945774</v>
      </c>
      <c r="I545">
        <v>68.690100000000001</v>
      </c>
      <c r="J545">
        <v>31.309899999999999</v>
      </c>
      <c r="K545">
        <v>91.428600000000003</v>
      </c>
      <c r="L545">
        <v>91</v>
      </c>
      <c r="M545">
        <v>100</v>
      </c>
      <c r="N545">
        <v>1377.37472</v>
      </c>
      <c r="O545">
        <v>256.3</v>
      </c>
      <c r="P545">
        <v>1120.8</v>
      </c>
      <c r="Q545">
        <v>0.27472000000000002</v>
      </c>
      <c r="R545">
        <v>152.79601299999999</v>
      </c>
      <c r="S545">
        <v>100</v>
      </c>
      <c r="T545">
        <v>0.95</v>
      </c>
      <c r="U545" t="s">
        <v>18</v>
      </c>
    </row>
    <row r="546" spans="1:21" hidden="1" x14ac:dyDescent="0.25">
      <c r="A546" t="s">
        <v>34</v>
      </c>
      <c r="B546">
        <v>500</v>
      </c>
      <c r="C546">
        <v>105</v>
      </c>
      <c r="D546">
        <v>4</v>
      </c>
      <c r="E546">
        <v>0.20671500000000001</v>
      </c>
      <c r="F546">
        <v>92.2</v>
      </c>
      <c r="G546">
        <v>62.4</v>
      </c>
      <c r="H546">
        <v>0.67678958785249455</v>
      </c>
      <c r="I546">
        <v>69.230800000000002</v>
      </c>
      <c r="J546">
        <v>30.769200000000001</v>
      </c>
      <c r="K546">
        <v>91.428600000000003</v>
      </c>
      <c r="L546">
        <v>91</v>
      </c>
      <c r="M546">
        <v>100</v>
      </c>
      <c r="N546">
        <v>1377.4747199999999</v>
      </c>
      <c r="O546">
        <v>256.3</v>
      </c>
      <c r="P546">
        <v>1120.9000000000001</v>
      </c>
      <c r="Q546">
        <v>0.27472000000000002</v>
      </c>
      <c r="R546">
        <v>152.40023299999999</v>
      </c>
      <c r="S546">
        <v>100</v>
      </c>
      <c r="T546">
        <v>0.95</v>
      </c>
      <c r="U546" t="s">
        <v>18</v>
      </c>
    </row>
    <row r="547" spans="1:21" hidden="1" x14ac:dyDescent="0.25">
      <c r="A547" t="s">
        <v>34</v>
      </c>
      <c r="B547">
        <v>500</v>
      </c>
      <c r="C547">
        <v>105</v>
      </c>
      <c r="D547">
        <v>4</v>
      </c>
      <c r="E547">
        <v>0.208372</v>
      </c>
      <c r="F547">
        <v>92.2</v>
      </c>
      <c r="G547">
        <v>62.6</v>
      </c>
      <c r="H547">
        <v>0.67895878524945774</v>
      </c>
      <c r="I547">
        <v>68.051100000000005</v>
      </c>
      <c r="J547">
        <v>31.948899999999998</v>
      </c>
      <c r="K547">
        <v>90.476200000000006</v>
      </c>
      <c r="L547">
        <v>90</v>
      </c>
      <c r="M547">
        <v>100</v>
      </c>
      <c r="N547">
        <v>1377.5738699999999</v>
      </c>
      <c r="O547">
        <v>256.3</v>
      </c>
      <c r="P547">
        <v>1121</v>
      </c>
      <c r="Q547">
        <v>0.27387</v>
      </c>
      <c r="R547">
        <v>153.88000400000001</v>
      </c>
      <c r="S547">
        <v>100</v>
      </c>
      <c r="T547">
        <v>0.95</v>
      </c>
      <c r="U547" t="s">
        <v>18</v>
      </c>
    </row>
    <row r="548" spans="1:21" hidden="1" x14ac:dyDescent="0.25">
      <c r="A548" t="s">
        <v>34</v>
      </c>
      <c r="B548">
        <v>500</v>
      </c>
      <c r="C548">
        <v>105</v>
      </c>
      <c r="D548">
        <v>4</v>
      </c>
      <c r="E548">
        <v>0.21124899999999999</v>
      </c>
      <c r="F548">
        <v>92.2</v>
      </c>
      <c r="G548">
        <v>62.6</v>
      </c>
      <c r="H548">
        <v>0.67895878524945774</v>
      </c>
      <c r="I548">
        <v>68.370599999999996</v>
      </c>
      <c r="J548">
        <v>31.6294</v>
      </c>
      <c r="K548">
        <v>88.571399999999997</v>
      </c>
      <c r="L548">
        <v>88</v>
      </c>
      <c r="M548">
        <v>100</v>
      </c>
      <c r="N548">
        <v>1377.7722900000001</v>
      </c>
      <c r="O548">
        <v>256.3</v>
      </c>
      <c r="P548">
        <v>1121.2</v>
      </c>
      <c r="Q548">
        <v>0.27228999999999998</v>
      </c>
      <c r="R548">
        <v>151.52680100000001</v>
      </c>
      <c r="S548">
        <v>100</v>
      </c>
      <c r="T548">
        <v>0.95</v>
      </c>
      <c r="U548" t="s">
        <v>18</v>
      </c>
    </row>
    <row r="549" spans="1:21" hidden="1" x14ac:dyDescent="0.25">
      <c r="A549" t="s">
        <v>34</v>
      </c>
      <c r="B549">
        <v>500</v>
      </c>
      <c r="C549">
        <v>105</v>
      </c>
      <c r="D549">
        <v>4</v>
      </c>
      <c r="E549">
        <v>0.205128</v>
      </c>
      <c r="F549">
        <v>92.2</v>
      </c>
      <c r="G549">
        <v>62.6</v>
      </c>
      <c r="H549">
        <v>0.67895878524945774</v>
      </c>
      <c r="I549">
        <v>68.370599999999996</v>
      </c>
      <c r="J549">
        <v>31.6294</v>
      </c>
      <c r="K549">
        <v>91.428600000000003</v>
      </c>
      <c r="L549">
        <v>91</v>
      </c>
      <c r="M549">
        <v>100</v>
      </c>
      <c r="N549">
        <v>1377.7747199999999</v>
      </c>
      <c r="O549">
        <v>256.3</v>
      </c>
      <c r="P549">
        <v>1121.2</v>
      </c>
      <c r="Q549">
        <v>0.27472000000000002</v>
      </c>
      <c r="R549">
        <v>153.046772</v>
      </c>
      <c r="S549">
        <v>100</v>
      </c>
      <c r="T549">
        <v>0.95</v>
      </c>
      <c r="U549" t="s">
        <v>18</v>
      </c>
    </row>
    <row r="550" spans="1:21" hidden="1" x14ac:dyDescent="0.25">
      <c r="A550" t="s">
        <v>34</v>
      </c>
      <c r="B550">
        <v>500</v>
      </c>
      <c r="C550">
        <v>105</v>
      </c>
      <c r="D550">
        <v>4</v>
      </c>
      <c r="E550">
        <v>0.20890900000000001</v>
      </c>
      <c r="F550">
        <v>92.2</v>
      </c>
      <c r="G550">
        <v>62.4</v>
      </c>
      <c r="H550">
        <v>0.67678958785249455</v>
      </c>
      <c r="I550">
        <v>69.230800000000002</v>
      </c>
      <c r="J550">
        <v>30.769200000000001</v>
      </c>
      <c r="K550">
        <v>91.428600000000003</v>
      </c>
      <c r="L550">
        <v>91</v>
      </c>
      <c r="M550">
        <v>100</v>
      </c>
      <c r="N550">
        <v>1377.87472</v>
      </c>
      <c r="O550">
        <v>256.3</v>
      </c>
      <c r="P550">
        <v>1121.3</v>
      </c>
      <c r="Q550">
        <v>0.27472000000000002</v>
      </c>
      <c r="R550">
        <v>153.00507899999999</v>
      </c>
      <c r="S550">
        <v>100</v>
      </c>
      <c r="T550">
        <v>0.95</v>
      </c>
      <c r="U550" t="s">
        <v>18</v>
      </c>
    </row>
    <row r="551" spans="1:21" hidden="1" x14ac:dyDescent="0.25">
      <c r="A551" t="s">
        <v>34</v>
      </c>
      <c r="B551">
        <v>500</v>
      </c>
      <c r="C551">
        <v>105</v>
      </c>
      <c r="D551">
        <v>4</v>
      </c>
      <c r="E551">
        <v>0.20258799999999999</v>
      </c>
      <c r="F551">
        <v>92.2</v>
      </c>
      <c r="G551">
        <v>62.6</v>
      </c>
      <c r="H551">
        <v>0.67895878524945774</v>
      </c>
      <c r="I551">
        <v>69.329099999999997</v>
      </c>
      <c r="J551">
        <v>30.6709</v>
      </c>
      <c r="K551">
        <v>90.476200000000006</v>
      </c>
      <c r="L551">
        <v>90</v>
      </c>
      <c r="M551">
        <v>100</v>
      </c>
      <c r="N551">
        <v>1377.97387</v>
      </c>
      <c r="O551">
        <v>256.3</v>
      </c>
      <c r="P551">
        <v>1121.4000000000001</v>
      </c>
      <c r="Q551">
        <v>0.27387</v>
      </c>
      <c r="R551">
        <v>151.732305</v>
      </c>
      <c r="S551">
        <v>100</v>
      </c>
      <c r="T551">
        <v>0.95</v>
      </c>
      <c r="U551" t="s">
        <v>18</v>
      </c>
    </row>
    <row r="552" spans="1:21" hidden="1" x14ac:dyDescent="0.25">
      <c r="A552" t="s">
        <v>34</v>
      </c>
      <c r="B552">
        <v>500</v>
      </c>
      <c r="C552">
        <v>105</v>
      </c>
      <c r="D552">
        <v>4</v>
      </c>
      <c r="E552">
        <v>0.20658399999999999</v>
      </c>
      <c r="F552">
        <v>92.2</v>
      </c>
      <c r="G552">
        <v>62.4</v>
      </c>
      <c r="H552">
        <v>0.67678958785249455</v>
      </c>
      <c r="I552">
        <v>69.871799999999993</v>
      </c>
      <c r="J552">
        <v>30.1282</v>
      </c>
      <c r="K552">
        <v>91.428600000000003</v>
      </c>
      <c r="L552">
        <v>91</v>
      </c>
      <c r="M552">
        <v>100</v>
      </c>
      <c r="N552">
        <v>1378.27404</v>
      </c>
      <c r="O552">
        <v>256.3</v>
      </c>
      <c r="P552">
        <v>1121.7</v>
      </c>
      <c r="Q552">
        <v>0.27404000000000001</v>
      </c>
      <c r="R552">
        <v>151.94522699999999</v>
      </c>
      <c r="S552">
        <v>100</v>
      </c>
      <c r="T552">
        <v>0.95</v>
      </c>
      <c r="U552" t="s">
        <v>18</v>
      </c>
    </row>
    <row r="553" spans="1:21" hidden="1" x14ac:dyDescent="0.25">
      <c r="A553" t="s">
        <v>34</v>
      </c>
      <c r="B553">
        <v>500</v>
      </c>
      <c r="C553">
        <v>105</v>
      </c>
      <c r="D553">
        <v>4</v>
      </c>
      <c r="E553">
        <v>0.20682600000000001</v>
      </c>
      <c r="F553">
        <v>92.2</v>
      </c>
      <c r="G553">
        <v>62.6</v>
      </c>
      <c r="H553">
        <v>0.67895878524945774</v>
      </c>
      <c r="I553">
        <v>69.329099999999997</v>
      </c>
      <c r="J553">
        <v>30.6709</v>
      </c>
      <c r="K553">
        <v>90.476200000000006</v>
      </c>
      <c r="L553">
        <v>90</v>
      </c>
      <c r="M553">
        <v>100</v>
      </c>
      <c r="N553">
        <v>1378.3738699999999</v>
      </c>
      <c r="O553">
        <v>256.3</v>
      </c>
      <c r="P553">
        <v>1121.8</v>
      </c>
      <c r="Q553">
        <v>0.27387</v>
      </c>
      <c r="R553">
        <v>152.96199799999999</v>
      </c>
      <c r="S553">
        <v>100</v>
      </c>
      <c r="T553">
        <v>0.95</v>
      </c>
      <c r="U553" t="s">
        <v>18</v>
      </c>
    </row>
    <row r="554" spans="1:21" hidden="1" x14ac:dyDescent="0.25">
      <c r="A554" t="s">
        <v>34</v>
      </c>
      <c r="B554">
        <v>500</v>
      </c>
      <c r="C554">
        <v>105</v>
      </c>
      <c r="D554">
        <v>4</v>
      </c>
      <c r="E554">
        <v>0.210618</v>
      </c>
      <c r="F554">
        <v>92.2</v>
      </c>
      <c r="G554">
        <v>62.4</v>
      </c>
      <c r="H554">
        <v>0.67678958785249455</v>
      </c>
      <c r="I554">
        <v>70.512799999999999</v>
      </c>
      <c r="J554">
        <v>29.487200000000001</v>
      </c>
      <c r="K554">
        <v>92.381</v>
      </c>
      <c r="L554">
        <v>92</v>
      </c>
      <c r="M554">
        <v>100</v>
      </c>
      <c r="N554">
        <v>1378.67569</v>
      </c>
      <c r="O554">
        <v>256.3</v>
      </c>
      <c r="P554">
        <v>1122.0999999999999</v>
      </c>
      <c r="Q554">
        <v>0.27568999999999999</v>
      </c>
      <c r="R554">
        <v>152.10500300000001</v>
      </c>
      <c r="S554">
        <v>100</v>
      </c>
      <c r="T554">
        <v>0.95</v>
      </c>
      <c r="U554" t="s">
        <v>18</v>
      </c>
    </row>
    <row r="555" spans="1:21" hidden="1" x14ac:dyDescent="0.25">
      <c r="A555" t="s">
        <v>34</v>
      </c>
      <c r="B555">
        <v>500</v>
      </c>
      <c r="C555">
        <v>105</v>
      </c>
      <c r="D555">
        <v>4</v>
      </c>
      <c r="E555">
        <v>0.20804500000000001</v>
      </c>
      <c r="F555">
        <v>92.2</v>
      </c>
      <c r="G555">
        <v>62.6</v>
      </c>
      <c r="H555">
        <v>0.67895878524945774</v>
      </c>
      <c r="I555">
        <v>69.329099999999997</v>
      </c>
      <c r="J555">
        <v>30.6709</v>
      </c>
      <c r="K555">
        <v>90.476200000000006</v>
      </c>
      <c r="L555">
        <v>90</v>
      </c>
      <c r="M555">
        <v>100</v>
      </c>
      <c r="N555">
        <v>1378.7739899999999</v>
      </c>
      <c r="O555">
        <v>256.3</v>
      </c>
      <c r="P555">
        <v>1122.2</v>
      </c>
      <c r="Q555">
        <v>0.27399000000000001</v>
      </c>
      <c r="R555">
        <v>152.146985</v>
      </c>
      <c r="S555">
        <v>100</v>
      </c>
      <c r="T555">
        <v>0.95</v>
      </c>
      <c r="U555" t="s">
        <v>18</v>
      </c>
    </row>
    <row r="556" spans="1:21" hidden="1" x14ac:dyDescent="0.25">
      <c r="A556" t="s">
        <v>34</v>
      </c>
      <c r="B556">
        <v>500</v>
      </c>
      <c r="C556">
        <v>105</v>
      </c>
      <c r="D556">
        <v>4</v>
      </c>
      <c r="E556">
        <v>0.21417700000000001</v>
      </c>
      <c r="F556">
        <v>92.2</v>
      </c>
      <c r="G556">
        <v>62.6</v>
      </c>
      <c r="H556">
        <v>0.67895878524945774</v>
      </c>
      <c r="I556">
        <v>68.370599999999996</v>
      </c>
      <c r="J556">
        <v>31.6294</v>
      </c>
      <c r="K556">
        <v>91.428600000000003</v>
      </c>
      <c r="L556">
        <v>91</v>
      </c>
      <c r="M556">
        <v>100</v>
      </c>
      <c r="N556">
        <v>1378.7747199999999</v>
      </c>
      <c r="O556">
        <v>256.3</v>
      </c>
      <c r="P556">
        <v>1122.2</v>
      </c>
      <c r="Q556">
        <v>0.27472000000000002</v>
      </c>
      <c r="R556">
        <v>153.71242799999999</v>
      </c>
      <c r="S556">
        <v>100</v>
      </c>
      <c r="T556">
        <v>0.95</v>
      </c>
      <c r="U556" t="s">
        <v>18</v>
      </c>
    </row>
    <row r="557" spans="1:21" hidden="1" x14ac:dyDescent="0.25">
      <c r="A557" t="s">
        <v>34</v>
      </c>
      <c r="B557">
        <v>500</v>
      </c>
      <c r="C557">
        <v>105</v>
      </c>
      <c r="D557">
        <v>4</v>
      </c>
      <c r="E557">
        <v>0.209838</v>
      </c>
      <c r="F557">
        <v>92.2</v>
      </c>
      <c r="G557">
        <v>62.6</v>
      </c>
      <c r="H557">
        <v>0.67895878524945774</v>
      </c>
      <c r="I557">
        <v>68.051100000000005</v>
      </c>
      <c r="J557">
        <v>31.948899999999998</v>
      </c>
      <c r="K557">
        <v>92.381</v>
      </c>
      <c r="L557">
        <v>92</v>
      </c>
      <c r="M557">
        <v>100</v>
      </c>
      <c r="N557">
        <v>1378.7750100000001</v>
      </c>
      <c r="O557">
        <v>256.3</v>
      </c>
      <c r="P557">
        <v>1122.2</v>
      </c>
      <c r="Q557">
        <v>0.27500999999999998</v>
      </c>
      <c r="R557">
        <v>154.829306</v>
      </c>
      <c r="S557">
        <v>100</v>
      </c>
      <c r="T557">
        <v>0.95</v>
      </c>
      <c r="U557" t="s">
        <v>18</v>
      </c>
    </row>
    <row r="558" spans="1:21" hidden="1" x14ac:dyDescent="0.25">
      <c r="A558" t="s">
        <v>34</v>
      </c>
      <c r="B558">
        <v>500</v>
      </c>
      <c r="C558">
        <v>105</v>
      </c>
      <c r="D558">
        <v>4</v>
      </c>
      <c r="E558">
        <v>0.20181299999999999</v>
      </c>
      <c r="F558">
        <v>92.2</v>
      </c>
      <c r="G558">
        <v>62.4</v>
      </c>
      <c r="H558">
        <v>0.67678958785249455</v>
      </c>
      <c r="I558">
        <v>68.589699999999993</v>
      </c>
      <c r="J558">
        <v>31.410299999999999</v>
      </c>
      <c r="K558">
        <v>91.428600000000003</v>
      </c>
      <c r="L558">
        <v>91</v>
      </c>
      <c r="M558">
        <v>100</v>
      </c>
      <c r="N558">
        <v>1378.8740399999999</v>
      </c>
      <c r="O558">
        <v>256.3</v>
      </c>
      <c r="P558">
        <v>1122.3</v>
      </c>
      <c r="Q558">
        <v>0.27404000000000001</v>
      </c>
      <c r="R558">
        <v>154.413783</v>
      </c>
      <c r="S558">
        <v>100</v>
      </c>
      <c r="T558">
        <v>0.95</v>
      </c>
      <c r="U558" t="s">
        <v>18</v>
      </c>
    </row>
    <row r="559" spans="1:21" hidden="1" x14ac:dyDescent="0.25">
      <c r="A559" t="s">
        <v>34</v>
      </c>
      <c r="B559">
        <v>500</v>
      </c>
      <c r="C559">
        <v>105</v>
      </c>
      <c r="D559">
        <v>4</v>
      </c>
      <c r="E559">
        <v>0.21271699999999999</v>
      </c>
      <c r="F559">
        <v>92.2</v>
      </c>
      <c r="G559">
        <v>62.4</v>
      </c>
      <c r="H559">
        <v>0.67678958785249455</v>
      </c>
      <c r="I559">
        <v>70.192300000000003</v>
      </c>
      <c r="J559">
        <v>29.807700000000001</v>
      </c>
      <c r="K559">
        <v>90.476200000000006</v>
      </c>
      <c r="L559">
        <v>90</v>
      </c>
      <c r="M559">
        <v>100</v>
      </c>
      <c r="N559">
        <v>1379.0731900000001</v>
      </c>
      <c r="O559">
        <v>256.3</v>
      </c>
      <c r="P559">
        <v>1122.5</v>
      </c>
      <c r="Q559">
        <v>0.27318999999999999</v>
      </c>
      <c r="R559">
        <v>151.60856699999999</v>
      </c>
      <c r="S559">
        <v>100</v>
      </c>
      <c r="T559">
        <v>0.95</v>
      </c>
      <c r="U559" t="s">
        <v>18</v>
      </c>
    </row>
    <row r="560" spans="1:21" hidden="1" x14ac:dyDescent="0.25">
      <c r="A560" t="s">
        <v>34</v>
      </c>
      <c r="B560">
        <v>500</v>
      </c>
      <c r="C560">
        <v>105</v>
      </c>
      <c r="D560">
        <v>4</v>
      </c>
      <c r="E560">
        <v>0.21290000000000001</v>
      </c>
      <c r="F560">
        <v>92.2</v>
      </c>
      <c r="G560">
        <v>62.4</v>
      </c>
      <c r="H560">
        <v>0.67678958785249455</v>
      </c>
      <c r="I560">
        <v>68.910300000000007</v>
      </c>
      <c r="J560">
        <v>31.089700000000001</v>
      </c>
      <c r="K560">
        <v>91.428600000000003</v>
      </c>
      <c r="L560">
        <v>91</v>
      </c>
      <c r="M560">
        <v>100</v>
      </c>
      <c r="N560">
        <v>1379.2747199999999</v>
      </c>
      <c r="O560">
        <v>256.3</v>
      </c>
      <c r="P560">
        <v>1122.7</v>
      </c>
      <c r="Q560">
        <v>0.27472000000000002</v>
      </c>
      <c r="R560">
        <v>152.36790300000001</v>
      </c>
      <c r="S560">
        <v>100</v>
      </c>
      <c r="T560">
        <v>0.95</v>
      </c>
      <c r="U560" t="s">
        <v>18</v>
      </c>
    </row>
    <row r="561" spans="1:21" hidden="1" x14ac:dyDescent="0.25">
      <c r="A561" t="s">
        <v>34</v>
      </c>
      <c r="B561">
        <v>500</v>
      </c>
      <c r="C561">
        <v>105</v>
      </c>
      <c r="D561">
        <v>4</v>
      </c>
      <c r="E561">
        <v>0.209093</v>
      </c>
      <c r="F561">
        <v>92.2</v>
      </c>
      <c r="G561">
        <v>62.4</v>
      </c>
      <c r="H561">
        <v>0.67678958785249455</v>
      </c>
      <c r="I561">
        <v>68.589699999999993</v>
      </c>
      <c r="J561">
        <v>31.410299999999999</v>
      </c>
      <c r="K561">
        <v>91.428600000000003</v>
      </c>
      <c r="L561">
        <v>91</v>
      </c>
      <c r="M561">
        <v>100</v>
      </c>
      <c r="N561">
        <v>1379.2747199999999</v>
      </c>
      <c r="O561">
        <v>256.3</v>
      </c>
      <c r="P561">
        <v>1122.7</v>
      </c>
      <c r="Q561">
        <v>0.27472000000000002</v>
      </c>
      <c r="R561">
        <v>153.12611200000001</v>
      </c>
      <c r="S561">
        <v>100</v>
      </c>
      <c r="T561">
        <v>0.95</v>
      </c>
      <c r="U561" t="s">
        <v>18</v>
      </c>
    </row>
    <row r="562" spans="1:21" hidden="1" x14ac:dyDescent="0.25">
      <c r="A562" t="s">
        <v>34</v>
      </c>
      <c r="B562">
        <v>500</v>
      </c>
      <c r="C562">
        <v>105</v>
      </c>
      <c r="D562">
        <v>4</v>
      </c>
      <c r="E562">
        <v>0.206153</v>
      </c>
      <c r="F562">
        <v>92.2</v>
      </c>
      <c r="G562">
        <v>62.6</v>
      </c>
      <c r="H562">
        <v>0.67895878524945774</v>
      </c>
      <c r="I562">
        <v>68.690100000000001</v>
      </c>
      <c r="J562">
        <v>31.309899999999999</v>
      </c>
      <c r="K562">
        <v>89.523799999999994</v>
      </c>
      <c r="L562">
        <v>89</v>
      </c>
      <c r="M562">
        <v>100</v>
      </c>
      <c r="N562">
        <v>1379.37246</v>
      </c>
      <c r="O562">
        <v>256.3</v>
      </c>
      <c r="P562">
        <v>1122.8</v>
      </c>
      <c r="Q562">
        <v>0.27245999999999998</v>
      </c>
      <c r="R562">
        <v>153.127792</v>
      </c>
      <c r="S562">
        <v>100</v>
      </c>
      <c r="T562">
        <v>0.95</v>
      </c>
      <c r="U562" t="s">
        <v>18</v>
      </c>
    </row>
    <row r="563" spans="1:21" hidden="1" x14ac:dyDescent="0.25">
      <c r="A563" t="s">
        <v>34</v>
      </c>
      <c r="B563">
        <v>500</v>
      </c>
      <c r="C563">
        <v>105</v>
      </c>
      <c r="D563">
        <v>4</v>
      </c>
      <c r="E563">
        <v>0.215667</v>
      </c>
      <c r="F563">
        <v>92.2</v>
      </c>
      <c r="G563">
        <v>62.6</v>
      </c>
      <c r="H563">
        <v>0.67895878524945774</v>
      </c>
      <c r="I563">
        <v>68.690100000000001</v>
      </c>
      <c r="J563">
        <v>31.309899999999999</v>
      </c>
      <c r="K563">
        <v>90.476200000000006</v>
      </c>
      <c r="L563">
        <v>90</v>
      </c>
      <c r="M563">
        <v>100</v>
      </c>
      <c r="N563">
        <v>1379.5731900000001</v>
      </c>
      <c r="O563">
        <v>256.3</v>
      </c>
      <c r="P563">
        <v>1123</v>
      </c>
      <c r="Q563">
        <v>0.27318999999999999</v>
      </c>
      <c r="R563">
        <v>153.39436599999999</v>
      </c>
      <c r="S563">
        <v>100</v>
      </c>
      <c r="T563">
        <v>0.95</v>
      </c>
      <c r="U563" t="s">
        <v>18</v>
      </c>
    </row>
    <row r="564" spans="1:21" hidden="1" x14ac:dyDescent="0.25">
      <c r="A564" t="s">
        <v>34</v>
      </c>
      <c r="B564">
        <v>500</v>
      </c>
      <c r="C564">
        <v>105</v>
      </c>
      <c r="D564">
        <v>4</v>
      </c>
      <c r="E564">
        <v>0.20195299999999999</v>
      </c>
      <c r="F564">
        <v>92.2</v>
      </c>
      <c r="G564">
        <v>62.4</v>
      </c>
      <c r="H564">
        <v>0.67678958785249455</v>
      </c>
      <c r="I564">
        <v>68.910300000000007</v>
      </c>
      <c r="J564">
        <v>31.089700000000001</v>
      </c>
      <c r="K564">
        <v>89.523799999999994</v>
      </c>
      <c r="L564">
        <v>89</v>
      </c>
      <c r="M564">
        <v>100</v>
      </c>
      <c r="N564">
        <v>1380.07302</v>
      </c>
      <c r="O564">
        <v>256.3</v>
      </c>
      <c r="P564">
        <v>1123.5</v>
      </c>
      <c r="Q564">
        <v>0.27301999999999998</v>
      </c>
      <c r="R564">
        <v>153.294195</v>
      </c>
      <c r="S564">
        <v>100</v>
      </c>
      <c r="T564">
        <v>0.95</v>
      </c>
      <c r="U564" t="s">
        <v>18</v>
      </c>
    </row>
    <row r="565" spans="1:21" hidden="1" x14ac:dyDescent="0.25">
      <c r="A565" t="s">
        <v>34</v>
      </c>
      <c r="B565">
        <v>500</v>
      </c>
      <c r="C565">
        <v>105</v>
      </c>
      <c r="D565">
        <v>4</v>
      </c>
      <c r="E565">
        <v>0.204735</v>
      </c>
      <c r="F565">
        <v>92.2</v>
      </c>
      <c r="G565">
        <v>62.6</v>
      </c>
      <c r="H565">
        <v>0.67895878524945774</v>
      </c>
      <c r="I565">
        <v>68.690100000000001</v>
      </c>
      <c r="J565">
        <v>31.309899999999999</v>
      </c>
      <c r="K565">
        <v>91.428600000000003</v>
      </c>
      <c r="L565">
        <v>91</v>
      </c>
      <c r="M565">
        <v>100</v>
      </c>
      <c r="N565">
        <v>1380.5747200000001</v>
      </c>
      <c r="O565">
        <v>256.3</v>
      </c>
      <c r="P565">
        <v>1124</v>
      </c>
      <c r="Q565">
        <v>0.27472000000000002</v>
      </c>
      <c r="R565">
        <v>152.41322099999999</v>
      </c>
      <c r="S565">
        <v>100</v>
      </c>
      <c r="T565">
        <v>0.95</v>
      </c>
      <c r="U565" t="s">
        <v>18</v>
      </c>
    </row>
    <row r="566" spans="1:21" hidden="1" x14ac:dyDescent="0.25">
      <c r="A566" t="s">
        <v>34</v>
      </c>
      <c r="B566">
        <v>500</v>
      </c>
      <c r="C566">
        <v>105</v>
      </c>
      <c r="D566">
        <v>4</v>
      </c>
      <c r="E566">
        <v>0.20333899999999999</v>
      </c>
      <c r="F566">
        <v>92.2</v>
      </c>
      <c r="G566">
        <v>62.2</v>
      </c>
      <c r="H566">
        <v>0.67462039045553146</v>
      </c>
      <c r="I566">
        <v>68.167199999999994</v>
      </c>
      <c r="J566">
        <v>31.832799999999999</v>
      </c>
      <c r="K566">
        <v>92.381</v>
      </c>
      <c r="L566">
        <v>92</v>
      </c>
      <c r="M566">
        <v>100</v>
      </c>
      <c r="N566">
        <v>1380.77557</v>
      </c>
      <c r="O566">
        <v>256.3</v>
      </c>
      <c r="P566">
        <v>1124.2</v>
      </c>
      <c r="Q566">
        <v>0.27556999999999998</v>
      </c>
      <c r="R566">
        <v>155.707922</v>
      </c>
      <c r="S566">
        <v>100</v>
      </c>
      <c r="T566">
        <v>0.95</v>
      </c>
      <c r="U566" t="s">
        <v>18</v>
      </c>
    </row>
    <row r="567" spans="1:21" hidden="1" x14ac:dyDescent="0.25">
      <c r="A567" t="s">
        <v>34</v>
      </c>
      <c r="B567">
        <v>500</v>
      </c>
      <c r="C567">
        <v>105</v>
      </c>
      <c r="D567">
        <v>4</v>
      </c>
      <c r="E567">
        <v>0.206261</v>
      </c>
      <c r="F567">
        <v>92.2</v>
      </c>
      <c r="G567">
        <v>62.4</v>
      </c>
      <c r="H567">
        <v>0.67678958785249455</v>
      </c>
      <c r="I567">
        <v>70.192300000000003</v>
      </c>
      <c r="J567">
        <v>29.807700000000001</v>
      </c>
      <c r="K567">
        <v>91.428600000000003</v>
      </c>
      <c r="L567">
        <v>91</v>
      </c>
      <c r="M567">
        <v>100</v>
      </c>
      <c r="N567">
        <v>1381.07404</v>
      </c>
      <c r="O567">
        <v>256.3</v>
      </c>
      <c r="P567">
        <v>1124.5</v>
      </c>
      <c r="Q567">
        <v>0.27404000000000001</v>
      </c>
      <c r="R567">
        <v>151.49907400000001</v>
      </c>
      <c r="S567">
        <v>100</v>
      </c>
      <c r="T567">
        <v>0.95</v>
      </c>
      <c r="U567" t="s">
        <v>18</v>
      </c>
    </row>
    <row r="568" spans="1:21" hidden="1" x14ac:dyDescent="0.25">
      <c r="A568" t="s">
        <v>34</v>
      </c>
      <c r="B568">
        <v>500</v>
      </c>
      <c r="C568">
        <v>105</v>
      </c>
      <c r="D568">
        <v>4</v>
      </c>
      <c r="E568">
        <v>0.20350599999999999</v>
      </c>
      <c r="F568">
        <v>92.2</v>
      </c>
      <c r="G568">
        <v>62.4</v>
      </c>
      <c r="H568">
        <v>0.67678958785249455</v>
      </c>
      <c r="I568">
        <v>67.307699999999997</v>
      </c>
      <c r="J568">
        <v>32.692300000000003</v>
      </c>
      <c r="K568">
        <v>91.428600000000003</v>
      </c>
      <c r="L568">
        <v>91</v>
      </c>
      <c r="M568">
        <v>100</v>
      </c>
      <c r="N568">
        <v>1381.07484</v>
      </c>
      <c r="O568">
        <v>256.3</v>
      </c>
      <c r="P568">
        <v>1124.5</v>
      </c>
      <c r="Q568">
        <v>0.27483999999999997</v>
      </c>
      <c r="R568">
        <v>156.71263200000001</v>
      </c>
      <c r="S568">
        <v>100</v>
      </c>
      <c r="T568">
        <v>0.95</v>
      </c>
      <c r="U568" t="s">
        <v>18</v>
      </c>
    </row>
    <row r="569" spans="1:21" hidden="1" x14ac:dyDescent="0.25">
      <c r="A569" t="s">
        <v>34</v>
      </c>
      <c r="B569">
        <v>500</v>
      </c>
      <c r="C569">
        <v>105</v>
      </c>
      <c r="D569">
        <v>4</v>
      </c>
      <c r="E569">
        <v>0.20854700000000001</v>
      </c>
      <c r="F569">
        <v>92.2</v>
      </c>
      <c r="G569">
        <v>62.6</v>
      </c>
      <c r="H569">
        <v>0.67895878524945774</v>
      </c>
      <c r="I569">
        <v>69.009600000000006</v>
      </c>
      <c r="J569">
        <v>30.990400000000001</v>
      </c>
      <c r="K569">
        <v>88.571399999999997</v>
      </c>
      <c r="L569">
        <v>88</v>
      </c>
      <c r="M569">
        <v>100</v>
      </c>
      <c r="N569">
        <v>1381.3716099999999</v>
      </c>
      <c r="O569">
        <v>256.3</v>
      </c>
      <c r="P569">
        <v>1124.8</v>
      </c>
      <c r="Q569">
        <v>0.27161000000000002</v>
      </c>
      <c r="R569">
        <v>151.416449</v>
      </c>
      <c r="S569">
        <v>100</v>
      </c>
      <c r="T569">
        <v>0.95</v>
      </c>
      <c r="U569" t="s">
        <v>18</v>
      </c>
    </row>
    <row r="570" spans="1:21" hidden="1" x14ac:dyDescent="0.25">
      <c r="A570" t="s">
        <v>34</v>
      </c>
      <c r="B570">
        <v>500</v>
      </c>
      <c r="C570">
        <v>105</v>
      </c>
      <c r="D570">
        <v>4</v>
      </c>
      <c r="E570">
        <v>0.21298500000000001</v>
      </c>
      <c r="F570">
        <v>92.2</v>
      </c>
      <c r="G570">
        <v>62.4</v>
      </c>
      <c r="H570">
        <v>0.67678958785249455</v>
      </c>
      <c r="I570">
        <v>69.871799999999993</v>
      </c>
      <c r="J570">
        <v>30.1282</v>
      </c>
      <c r="K570">
        <v>91.428600000000003</v>
      </c>
      <c r="L570">
        <v>91</v>
      </c>
      <c r="M570">
        <v>100</v>
      </c>
      <c r="N570">
        <v>1381.4748400000001</v>
      </c>
      <c r="O570">
        <v>256.3</v>
      </c>
      <c r="P570">
        <v>1124.9000000000001</v>
      </c>
      <c r="Q570">
        <v>0.27483999999999997</v>
      </c>
      <c r="R570">
        <v>152.30753200000001</v>
      </c>
      <c r="S570">
        <v>100</v>
      </c>
      <c r="T570">
        <v>0.95</v>
      </c>
      <c r="U570" t="s">
        <v>18</v>
      </c>
    </row>
    <row r="571" spans="1:21" hidden="1" x14ac:dyDescent="0.25">
      <c r="A571" t="s">
        <v>34</v>
      </c>
      <c r="B571">
        <v>500</v>
      </c>
      <c r="C571">
        <v>105</v>
      </c>
      <c r="D571">
        <v>4</v>
      </c>
      <c r="E571">
        <v>0.20879300000000001</v>
      </c>
      <c r="F571">
        <v>92.2</v>
      </c>
      <c r="G571">
        <v>62.6</v>
      </c>
      <c r="H571">
        <v>0.67895878524945774</v>
      </c>
      <c r="I571">
        <v>70.287499999999994</v>
      </c>
      <c r="J571">
        <v>29.712499999999999</v>
      </c>
      <c r="K571">
        <v>90.476200000000006</v>
      </c>
      <c r="L571">
        <v>90</v>
      </c>
      <c r="M571">
        <v>100</v>
      </c>
      <c r="N571">
        <v>1381.5731900000001</v>
      </c>
      <c r="O571">
        <v>256.3</v>
      </c>
      <c r="P571">
        <v>1125</v>
      </c>
      <c r="Q571">
        <v>0.27318999999999999</v>
      </c>
      <c r="R571">
        <v>149.70240000000001</v>
      </c>
      <c r="S571">
        <v>100</v>
      </c>
      <c r="T571">
        <v>0.95</v>
      </c>
      <c r="U571" t="s">
        <v>18</v>
      </c>
    </row>
    <row r="572" spans="1:21" hidden="1" x14ac:dyDescent="0.25">
      <c r="A572" t="s">
        <v>34</v>
      </c>
      <c r="B572">
        <v>500</v>
      </c>
      <c r="C572">
        <v>105</v>
      </c>
      <c r="D572">
        <v>4</v>
      </c>
      <c r="E572">
        <v>0.20507900000000001</v>
      </c>
      <c r="F572">
        <v>92.2</v>
      </c>
      <c r="G572">
        <v>62.6</v>
      </c>
      <c r="H572">
        <v>0.67895878524945774</v>
      </c>
      <c r="I572">
        <v>69.329099999999997</v>
      </c>
      <c r="J572">
        <v>30.6709</v>
      </c>
      <c r="K572">
        <v>91.428600000000003</v>
      </c>
      <c r="L572">
        <v>91</v>
      </c>
      <c r="M572">
        <v>100</v>
      </c>
      <c r="N572">
        <v>1381.5747200000001</v>
      </c>
      <c r="O572">
        <v>256.3</v>
      </c>
      <c r="P572">
        <v>1125</v>
      </c>
      <c r="Q572">
        <v>0.27472000000000002</v>
      </c>
      <c r="R572">
        <v>151.34210999999999</v>
      </c>
      <c r="S572">
        <v>100</v>
      </c>
      <c r="T572">
        <v>0.95</v>
      </c>
      <c r="U572" t="s">
        <v>18</v>
      </c>
    </row>
    <row r="573" spans="1:21" hidden="1" x14ac:dyDescent="0.25">
      <c r="A573" t="s">
        <v>34</v>
      </c>
      <c r="B573">
        <v>500</v>
      </c>
      <c r="C573">
        <v>105</v>
      </c>
      <c r="D573">
        <v>4</v>
      </c>
      <c r="E573">
        <v>0.20896899999999999</v>
      </c>
      <c r="F573">
        <v>92.2</v>
      </c>
      <c r="G573">
        <v>62.6</v>
      </c>
      <c r="H573">
        <v>0.67895878524945774</v>
      </c>
      <c r="I573">
        <v>69.329099999999997</v>
      </c>
      <c r="J573">
        <v>30.6709</v>
      </c>
      <c r="K573">
        <v>90.476200000000006</v>
      </c>
      <c r="L573">
        <v>90</v>
      </c>
      <c r="M573">
        <v>100</v>
      </c>
      <c r="N573">
        <v>1382.5739900000001</v>
      </c>
      <c r="O573">
        <v>256.3</v>
      </c>
      <c r="P573">
        <v>1126</v>
      </c>
      <c r="Q573">
        <v>0.27399000000000001</v>
      </c>
      <c r="R573">
        <v>150.11247900000001</v>
      </c>
      <c r="S573">
        <v>100</v>
      </c>
      <c r="T573">
        <v>0.95</v>
      </c>
      <c r="U573" t="s">
        <v>18</v>
      </c>
    </row>
    <row r="574" spans="1:21" hidden="1" x14ac:dyDescent="0.25">
      <c r="A574" t="s">
        <v>34</v>
      </c>
      <c r="B574">
        <v>500</v>
      </c>
      <c r="C574">
        <v>105</v>
      </c>
      <c r="D574">
        <v>4</v>
      </c>
      <c r="E574">
        <v>0.25101899999999999</v>
      </c>
      <c r="F574">
        <v>92.2</v>
      </c>
      <c r="G574">
        <v>62.2</v>
      </c>
      <c r="H574">
        <v>0.67462039045553146</v>
      </c>
      <c r="I574">
        <v>69.131799999999998</v>
      </c>
      <c r="J574">
        <v>30.868200000000002</v>
      </c>
      <c r="K574">
        <v>89.523799999999994</v>
      </c>
      <c r="L574">
        <v>89</v>
      </c>
      <c r="M574">
        <v>100</v>
      </c>
      <c r="N574">
        <v>1383.5723399999999</v>
      </c>
      <c r="O574">
        <v>256.3</v>
      </c>
      <c r="P574">
        <v>1127</v>
      </c>
      <c r="Q574">
        <v>0.27234000000000003</v>
      </c>
      <c r="R574">
        <v>153.52185800000001</v>
      </c>
      <c r="S574">
        <v>100</v>
      </c>
      <c r="T574">
        <v>0.95</v>
      </c>
      <c r="U574" t="s">
        <v>18</v>
      </c>
    </row>
    <row r="575" spans="1:21" hidden="1" x14ac:dyDescent="0.25">
      <c r="A575" t="s">
        <v>34</v>
      </c>
      <c r="B575">
        <v>500</v>
      </c>
      <c r="C575">
        <v>105</v>
      </c>
      <c r="D575">
        <v>4</v>
      </c>
      <c r="E575">
        <v>0.20896899999999999</v>
      </c>
      <c r="F575">
        <v>92.2</v>
      </c>
      <c r="G575">
        <v>62.4</v>
      </c>
      <c r="H575">
        <v>0.67678958785249455</v>
      </c>
      <c r="I575">
        <v>69.230800000000002</v>
      </c>
      <c r="J575">
        <v>30.769200000000001</v>
      </c>
      <c r="K575">
        <v>87.619</v>
      </c>
      <c r="L575">
        <v>87</v>
      </c>
      <c r="M575">
        <v>100</v>
      </c>
      <c r="N575">
        <v>1384.4713200000001</v>
      </c>
      <c r="O575">
        <v>256.3</v>
      </c>
      <c r="P575">
        <v>1127.9000000000001</v>
      </c>
      <c r="Q575">
        <v>0.27132000000000001</v>
      </c>
      <c r="R575">
        <v>152.574038</v>
      </c>
      <c r="S575">
        <v>100</v>
      </c>
      <c r="T575">
        <v>0.95</v>
      </c>
      <c r="U575" t="s">
        <v>18</v>
      </c>
    </row>
    <row r="576" spans="1:21" hidden="1" x14ac:dyDescent="0.25">
      <c r="A576" t="s">
        <v>34</v>
      </c>
      <c r="B576">
        <v>500</v>
      </c>
      <c r="C576">
        <v>105</v>
      </c>
      <c r="D576">
        <v>4</v>
      </c>
      <c r="E576">
        <v>0.20727100000000001</v>
      </c>
      <c r="F576">
        <v>92.2</v>
      </c>
      <c r="G576">
        <v>62.4</v>
      </c>
      <c r="H576">
        <v>0.67678958785249455</v>
      </c>
      <c r="I576">
        <v>69.230800000000002</v>
      </c>
      <c r="J576">
        <v>30.769200000000001</v>
      </c>
      <c r="K576">
        <v>90.476200000000006</v>
      </c>
      <c r="L576">
        <v>90</v>
      </c>
      <c r="M576">
        <v>100</v>
      </c>
      <c r="N576">
        <v>1384.4733100000001</v>
      </c>
      <c r="O576">
        <v>256.3</v>
      </c>
      <c r="P576">
        <v>1127.9000000000001</v>
      </c>
      <c r="Q576">
        <v>0.27331</v>
      </c>
      <c r="R576">
        <v>153.795571</v>
      </c>
      <c r="S576">
        <v>100</v>
      </c>
      <c r="T576">
        <v>0.95</v>
      </c>
      <c r="U576" t="s">
        <v>18</v>
      </c>
    </row>
    <row r="577" spans="1:21" hidden="1" x14ac:dyDescent="0.25">
      <c r="A577" t="s">
        <v>34</v>
      </c>
      <c r="B577">
        <v>500</v>
      </c>
      <c r="C577">
        <v>105</v>
      </c>
      <c r="D577">
        <v>4</v>
      </c>
      <c r="E577">
        <v>0.20749100000000001</v>
      </c>
      <c r="F577">
        <v>92.2</v>
      </c>
      <c r="G577">
        <v>62.4</v>
      </c>
      <c r="H577">
        <v>0.67678958785249455</v>
      </c>
      <c r="I577">
        <v>68.589699999999993</v>
      </c>
      <c r="J577">
        <v>31.410299999999999</v>
      </c>
      <c r="K577">
        <v>90.476200000000006</v>
      </c>
      <c r="L577">
        <v>90</v>
      </c>
      <c r="M577">
        <v>100</v>
      </c>
      <c r="N577">
        <v>1384.47363</v>
      </c>
      <c r="O577">
        <v>256.3</v>
      </c>
      <c r="P577">
        <v>1127.9000000000001</v>
      </c>
      <c r="Q577">
        <v>0.27362999999999998</v>
      </c>
      <c r="R577">
        <v>152.90285900000001</v>
      </c>
      <c r="S577">
        <v>100</v>
      </c>
      <c r="T577">
        <v>0.95</v>
      </c>
      <c r="U577" t="s">
        <v>18</v>
      </c>
    </row>
    <row r="578" spans="1:21" hidden="1" x14ac:dyDescent="0.25">
      <c r="A578" t="s">
        <v>34</v>
      </c>
      <c r="B578">
        <v>500</v>
      </c>
      <c r="C578">
        <v>105</v>
      </c>
      <c r="D578">
        <v>4</v>
      </c>
      <c r="E578">
        <v>0.22320000000000001</v>
      </c>
      <c r="F578">
        <v>92.2</v>
      </c>
      <c r="G578">
        <v>62.4</v>
      </c>
      <c r="H578">
        <v>0.67678958785249455</v>
      </c>
      <c r="I578">
        <v>68.910300000000007</v>
      </c>
      <c r="J578">
        <v>31.089700000000001</v>
      </c>
      <c r="K578">
        <v>90.476200000000006</v>
      </c>
      <c r="L578">
        <v>90</v>
      </c>
      <c r="M578">
        <v>100</v>
      </c>
      <c r="N578">
        <v>1384.67319</v>
      </c>
      <c r="O578">
        <v>256.3</v>
      </c>
      <c r="P578">
        <v>1128.0999999999999</v>
      </c>
      <c r="Q578">
        <v>0.27318999999999999</v>
      </c>
      <c r="R578">
        <v>153.79403300000001</v>
      </c>
      <c r="S578">
        <v>100</v>
      </c>
      <c r="T578">
        <v>0.95</v>
      </c>
      <c r="U578" t="s">
        <v>18</v>
      </c>
    </row>
    <row r="579" spans="1:21" hidden="1" x14ac:dyDescent="0.25">
      <c r="A579" t="s">
        <v>34</v>
      </c>
      <c r="B579">
        <v>500</v>
      </c>
      <c r="C579">
        <v>105</v>
      </c>
      <c r="D579">
        <v>4</v>
      </c>
      <c r="E579">
        <v>0.207479</v>
      </c>
      <c r="F579">
        <v>92.2</v>
      </c>
      <c r="G579">
        <v>62.2</v>
      </c>
      <c r="H579">
        <v>0.67462039045553146</v>
      </c>
      <c r="I579">
        <v>69.131799999999998</v>
      </c>
      <c r="J579">
        <v>30.868200000000002</v>
      </c>
      <c r="K579">
        <v>90.476200000000006</v>
      </c>
      <c r="L579">
        <v>90</v>
      </c>
      <c r="M579">
        <v>100</v>
      </c>
      <c r="N579">
        <v>1385.7731900000001</v>
      </c>
      <c r="O579">
        <v>256.3</v>
      </c>
      <c r="P579">
        <v>1129.2</v>
      </c>
      <c r="Q579">
        <v>0.27318999999999999</v>
      </c>
      <c r="R579">
        <v>153.63394600000001</v>
      </c>
      <c r="S579">
        <v>100</v>
      </c>
      <c r="T579">
        <v>0.95</v>
      </c>
      <c r="U579" t="s">
        <v>18</v>
      </c>
    </row>
    <row r="580" spans="1:21" hidden="1" x14ac:dyDescent="0.25">
      <c r="A580" t="s">
        <v>34</v>
      </c>
      <c r="B580">
        <v>500</v>
      </c>
      <c r="C580">
        <v>105</v>
      </c>
      <c r="D580">
        <v>4</v>
      </c>
      <c r="E580">
        <v>0.20844399999999999</v>
      </c>
      <c r="F580">
        <v>92.2</v>
      </c>
      <c r="G580">
        <v>62.4</v>
      </c>
      <c r="H580">
        <v>0.67678958785249455</v>
      </c>
      <c r="I580">
        <v>68.589699999999993</v>
      </c>
      <c r="J580">
        <v>31.410299999999999</v>
      </c>
      <c r="K580">
        <v>90.476200000000006</v>
      </c>
      <c r="L580">
        <v>90</v>
      </c>
      <c r="M580">
        <v>100</v>
      </c>
      <c r="N580">
        <v>1386.6738700000001</v>
      </c>
      <c r="O580">
        <v>256.3</v>
      </c>
      <c r="P580">
        <v>1130.0999999999999</v>
      </c>
      <c r="Q580">
        <v>0.27387</v>
      </c>
      <c r="R580">
        <v>153.14977999999999</v>
      </c>
      <c r="S580">
        <v>100</v>
      </c>
      <c r="T580">
        <v>0.95</v>
      </c>
      <c r="U580" t="s">
        <v>18</v>
      </c>
    </row>
    <row r="581" spans="1:21" hidden="1" x14ac:dyDescent="0.25">
      <c r="A581" t="s">
        <v>34</v>
      </c>
      <c r="B581">
        <v>500</v>
      </c>
      <c r="C581">
        <v>105</v>
      </c>
      <c r="D581">
        <v>4</v>
      </c>
      <c r="E581">
        <v>0.20270099999999999</v>
      </c>
      <c r="F581">
        <v>92.2</v>
      </c>
      <c r="G581">
        <v>62.2</v>
      </c>
      <c r="H581">
        <v>0.67462039045553146</v>
      </c>
      <c r="I581">
        <v>69.774900000000002</v>
      </c>
      <c r="J581">
        <v>30.225100000000001</v>
      </c>
      <c r="K581">
        <v>91.428600000000003</v>
      </c>
      <c r="L581">
        <v>91</v>
      </c>
      <c r="M581">
        <v>100</v>
      </c>
      <c r="N581">
        <v>1387.1748399999999</v>
      </c>
      <c r="O581">
        <v>256.3</v>
      </c>
      <c r="P581">
        <v>1130.5999999999999</v>
      </c>
      <c r="Q581">
        <v>0.27483999999999997</v>
      </c>
      <c r="R581">
        <v>151.09109900000001</v>
      </c>
      <c r="S581">
        <v>100</v>
      </c>
      <c r="T581">
        <v>0.95</v>
      </c>
      <c r="U581" t="s">
        <v>18</v>
      </c>
    </row>
    <row r="582" spans="1:21" hidden="1" x14ac:dyDescent="0.25">
      <c r="A582" t="s">
        <v>34</v>
      </c>
      <c r="B582">
        <v>500</v>
      </c>
      <c r="C582">
        <v>105</v>
      </c>
      <c r="D582">
        <v>4</v>
      </c>
      <c r="E582">
        <v>0.21971099999999999</v>
      </c>
      <c r="F582">
        <v>92.2</v>
      </c>
      <c r="G582">
        <v>62.2</v>
      </c>
      <c r="H582">
        <v>0.67462039045553146</v>
      </c>
      <c r="I582">
        <v>69.453400000000002</v>
      </c>
      <c r="J582">
        <v>30.546600000000002</v>
      </c>
      <c r="K582">
        <v>89.523799999999994</v>
      </c>
      <c r="L582">
        <v>89</v>
      </c>
      <c r="M582">
        <v>100</v>
      </c>
      <c r="N582">
        <v>1389.3723399999999</v>
      </c>
      <c r="O582">
        <v>256.3</v>
      </c>
      <c r="P582">
        <v>1132.8</v>
      </c>
      <c r="Q582">
        <v>0.27234000000000003</v>
      </c>
      <c r="R582">
        <v>152.035269</v>
      </c>
      <c r="S582">
        <v>100</v>
      </c>
      <c r="T582">
        <v>0.95</v>
      </c>
      <c r="U582" t="s">
        <v>18</v>
      </c>
    </row>
    <row r="583" spans="1:21" hidden="1" x14ac:dyDescent="0.25">
      <c r="A583" t="s">
        <v>34</v>
      </c>
      <c r="B583">
        <v>500</v>
      </c>
      <c r="C583">
        <v>105</v>
      </c>
      <c r="D583">
        <v>4</v>
      </c>
      <c r="E583">
        <v>0.211142</v>
      </c>
      <c r="F583">
        <v>92.2</v>
      </c>
      <c r="G583">
        <v>62.2</v>
      </c>
      <c r="H583">
        <v>0.67462039045553146</v>
      </c>
      <c r="I583">
        <v>67.845699999999994</v>
      </c>
      <c r="J583">
        <v>32.154299999999999</v>
      </c>
      <c r="K583">
        <v>89.523799999999994</v>
      </c>
      <c r="L583">
        <v>89</v>
      </c>
      <c r="M583">
        <v>100</v>
      </c>
      <c r="N583">
        <v>1389.5723399999999</v>
      </c>
      <c r="O583">
        <v>256.3</v>
      </c>
      <c r="P583">
        <v>1133</v>
      </c>
      <c r="Q583">
        <v>0.27234000000000003</v>
      </c>
      <c r="R583">
        <v>154.84804600000001</v>
      </c>
      <c r="S583">
        <v>100</v>
      </c>
      <c r="T583">
        <v>0.95</v>
      </c>
      <c r="U583" t="s">
        <v>18</v>
      </c>
    </row>
    <row r="584" spans="1:21" hidden="1" x14ac:dyDescent="0.25">
      <c r="A584" t="s">
        <v>34</v>
      </c>
      <c r="B584">
        <v>500</v>
      </c>
      <c r="C584">
        <v>105</v>
      </c>
      <c r="D584">
        <v>4</v>
      </c>
      <c r="E584">
        <v>0.21673100000000001</v>
      </c>
      <c r="F584">
        <v>92.2</v>
      </c>
      <c r="G584">
        <v>62.2</v>
      </c>
      <c r="H584">
        <v>0.67462039045553146</v>
      </c>
      <c r="I584">
        <v>69.774900000000002</v>
      </c>
      <c r="J584">
        <v>30.225100000000001</v>
      </c>
      <c r="K584">
        <v>89.523799999999994</v>
      </c>
      <c r="L584">
        <v>89</v>
      </c>
      <c r="M584">
        <v>100</v>
      </c>
      <c r="N584">
        <v>1389.7722200000001</v>
      </c>
      <c r="O584">
        <v>256.3</v>
      </c>
      <c r="P584">
        <v>1133.2</v>
      </c>
      <c r="Q584">
        <v>0.27222000000000002</v>
      </c>
      <c r="R584">
        <v>152.38585</v>
      </c>
      <c r="S584">
        <v>100</v>
      </c>
      <c r="T584">
        <v>0.95</v>
      </c>
      <c r="U584" t="s">
        <v>18</v>
      </c>
    </row>
    <row r="585" spans="1:21" hidden="1" x14ac:dyDescent="0.25">
      <c r="A585" t="s">
        <v>34</v>
      </c>
      <c r="B585">
        <v>500</v>
      </c>
      <c r="C585">
        <v>105</v>
      </c>
      <c r="D585">
        <v>4</v>
      </c>
      <c r="E585">
        <v>0.20117099999999999</v>
      </c>
      <c r="F585">
        <v>92.2</v>
      </c>
      <c r="G585">
        <v>62.2</v>
      </c>
      <c r="H585">
        <v>0.67462039045553146</v>
      </c>
      <c r="I585">
        <v>67.845699999999994</v>
      </c>
      <c r="J585">
        <v>32.154299999999999</v>
      </c>
      <c r="K585">
        <v>90.476200000000006</v>
      </c>
      <c r="L585">
        <v>90</v>
      </c>
      <c r="M585">
        <v>100</v>
      </c>
      <c r="N585">
        <v>1391.3738699999999</v>
      </c>
      <c r="O585">
        <v>256.3</v>
      </c>
      <c r="P585">
        <v>1134.8</v>
      </c>
      <c r="Q585">
        <v>0.27387</v>
      </c>
      <c r="R585">
        <v>153.96736200000001</v>
      </c>
      <c r="S585">
        <v>100</v>
      </c>
      <c r="T585">
        <v>0.95</v>
      </c>
      <c r="U585" t="s">
        <v>18</v>
      </c>
    </row>
    <row r="586" spans="1:21" hidden="1" x14ac:dyDescent="0.25">
      <c r="A586" t="s">
        <v>34</v>
      </c>
      <c r="B586">
        <v>500</v>
      </c>
      <c r="C586">
        <v>105</v>
      </c>
      <c r="D586">
        <v>4</v>
      </c>
      <c r="E586">
        <v>0.20711499999999999</v>
      </c>
      <c r="F586">
        <v>92.2</v>
      </c>
      <c r="G586">
        <v>62</v>
      </c>
      <c r="H586">
        <v>0.67245119305856826</v>
      </c>
      <c r="I586">
        <v>68.064499999999995</v>
      </c>
      <c r="J586">
        <v>31.935500000000001</v>
      </c>
      <c r="K586">
        <v>91.428600000000003</v>
      </c>
      <c r="L586">
        <v>91</v>
      </c>
      <c r="M586">
        <v>100</v>
      </c>
      <c r="N586">
        <v>1391.87472</v>
      </c>
      <c r="O586">
        <v>256.3</v>
      </c>
      <c r="P586">
        <v>1135.3</v>
      </c>
      <c r="Q586">
        <v>0.27472000000000002</v>
      </c>
      <c r="R586">
        <v>155.46788900000001</v>
      </c>
      <c r="S586">
        <v>100</v>
      </c>
      <c r="T586">
        <v>0.95</v>
      </c>
      <c r="U586" t="s">
        <v>18</v>
      </c>
    </row>
    <row r="587" spans="1:21" hidden="1" x14ac:dyDescent="0.25">
      <c r="A587" t="s">
        <v>34</v>
      </c>
      <c r="B587">
        <v>500</v>
      </c>
      <c r="C587">
        <v>105</v>
      </c>
      <c r="D587">
        <v>4</v>
      </c>
      <c r="E587">
        <v>0.20927399999999999</v>
      </c>
      <c r="F587">
        <v>92.2</v>
      </c>
      <c r="G587">
        <v>62.2</v>
      </c>
      <c r="H587">
        <v>0.67462039045553146</v>
      </c>
      <c r="I587">
        <v>68.167199999999994</v>
      </c>
      <c r="J587">
        <v>31.832799999999999</v>
      </c>
      <c r="K587">
        <v>91.428600000000003</v>
      </c>
      <c r="L587">
        <v>91</v>
      </c>
      <c r="M587">
        <v>100</v>
      </c>
      <c r="N587">
        <v>1391.9747199999999</v>
      </c>
      <c r="O587">
        <v>256.3</v>
      </c>
      <c r="P587">
        <v>1135.4000000000001</v>
      </c>
      <c r="Q587">
        <v>0.27472000000000002</v>
      </c>
      <c r="R587">
        <v>153.445392</v>
      </c>
      <c r="S587">
        <v>100</v>
      </c>
      <c r="T587">
        <v>0.95</v>
      </c>
      <c r="U587" t="s">
        <v>18</v>
      </c>
    </row>
    <row r="588" spans="1:21" hidden="1" x14ac:dyDescent="0.25">
      <c r="A588" t="s">
        <v>34</v>
      </c>
      <c r="B588">
        <v>500</v>
      </c>
      <c r="C588">
        <v>105</v>
      </c>
      <c r="D588">
        <v>4</v>
      </c>
      <c r="E588">
        <v>0.202461</v>
      </c>
      <c r="F588">
        <v>92.2</v>
      </c>
      <c r="G588">
        <v>62.2</v>
      </c>
      <c r="H588">
        <v>0.67462039045553146</v>
      </c>
      <c r="I588">
        <v>69.131799999999998</v>
      </c>
      <c r="J588">
        <v>30.868200000000002</v>
      </c>
      <c r="K588">
        <v>88.571399999999997</v>
      </c>
      <c r="L588">
        <v>88</v>
      </c>
      <c r="M588">
        <v>100</v>
      </c>
      <c r="N588">
        <v>1392.17229</v>
      </c>
      <c r="O588">
        <v>256.3</v>
      </c>
      <c r="P588">
        <v>1135.5999999999999</v>
      </c>
      <c r="Q588">
        <v>0.27228999999999998</v>
      </c>
      <c r="R588">
        <v>152.654809</v>
      </c>
      <c r="S588">
        <v>100</v>
      </c>
      <c r="T588">
        <v>0.95</v>
      </c>
      <c r="U588" t="s">
        <v>18</v>
      </c>
    </row>
    <row r="589" spans="1:21" hidden="1" x14ac:dyDescent="0.25">
      <c r="A589" t="s">
        <v>34</v>
      </c>
      <c r="B589">
        <v>500</v>
      </c>
      <c r="C589">
        <v>105</v>
      </c>
      <c r="D589">
        <v>4</v>
      </c>
      <c r="E589">
        <v>0.20848</v>
      </c>
      <c r="F589">
        <v>92.2</v>
      </c>
      <c r="G589">
        <v>62.2</v>
      </c>
      <c r="H589">
        <v>0.67462039045553146</v>
      </c>
      <c r="I589">
        <v>69.453400000000002</v>
      </c>
      <c r="J589">
        <v>30.546600000000002</v>
      </c>
      <c r="K589">
        <v>92.381</v>
      </c>
      <c r="L589">
        <v>92</v>
      </c>
      <c r="M589">
        <v>100</v>
      </c>
      <c r="N589">
        <v>1392.1755700000001</v>
      </c>
      <c r="O589">
        <v>256.3</v>
      </c>
      <c r="P589">
        <v>1135.5999999999999</v>
      </c>
      <c r="Q589">
        <v>0.27556999999999998</v>
      </c>
      <c r="R589">
        <v>152.591689</v>
      </c>
      <c r="S589">
        <v>100</v>
      </c>
      <c r="T589">
        <v>0.95</v>
      </c>
      <c r="U589" t="s">
        <v>18</v>
      </c>
    </row>
    <row r="590" spans="1:21" hidden="1" x14ac:dyDescent="0.25">
      <c r="A590" t="s">
        <v>34</v>
      </c>
      <c r="B590">
        <v>500</v>
      </c>
      <c r="C590">
        <v>105</v>
      </c>
      <c r="D590">
        <v>4</v>
      </c>
      <c r="E590">
        <v>0.210565</v>
      </c>
      <c r="F590">
        <v>92.2</v>
      </c>
      <c r="G590">
        <v>62</v>
      </c>
      <c r="H590">
        <v>0.67245119305856826</v>
      </c>
      <c r="I590">
        <v>69.354799999999997</v>
      </c>
      <c r="J590">
        <v>30.645199999999999</v>
      </c>
      <c r="K590">
        <v>91.428600000000003</v>
      </c>
      <c r="L590">
        <v>91</v>
      </c>
      <c r="M590">
        <v>100</v>
      </c>
      <c r="N590">
        <v>1393.6740400000001</v>
      </c>
      <c r="O590">
        <v>256.3</v>
      </c>
      <c r="P590">
        <v>1137.0999999999999</v>
      </c>
      <c r="Q590">
        <v>0.27404000000000001</v>
      </c>
      <c r="R590">
        <v>152.68355700000001</v>
      </c>
      <c r="S590">
        <v>100</v>
      </c>
      <c r="T590">
        <v>0.95</v>
      </c>
      <c r="U590" t="s">
        <v>18</v>
      </c>
    </row>
    <row r="591" spans="1:21" hidden="1" x14ac:dyDescent="0.25">
      <c r="A591" t="s">
        <v>34</v>
      </c>
      <c r="B591">
        <v>500</v>
      </c>
      <c r="C591">
        <v>105</v>
      </c>
      <c r="D591">
        <v>4</v>
      </c>
      <c r="E591">
        <v>0.21615699999999999</v>
      </c>
      <c r="F591">
        <v>92.2</v>
      </c>
      <c r="G591">
        <v>62.2</v>
      </c>
      <c r="H591">
        <v>0.67462039045553146</v>
      </c>
      <c r="I591">
        <v>68.167199999999994</v>
      </c>
      <c r="J591">
        <v>31.832799999999999</v>
      </c>
      <c r="K591">
        <v>93.333299999999994</v>
      </c>
      <c r="L591">
        <v>93</v>
      </c>
      <c r="M591">
        <v>100</v>
      </c>
      <c r="N591">
        <v>1393.7761800000001</v>
      </c>
      <c r="O591">
        <v>256.3</v>
      </c>
      <c r="P591">
        <v>1137.2</v>
      </c>
      <c r="Q591">
        <v>0.27617999999999998</v>
      </c>
      <c r="R591">
        <v>152.76490200000001</v>
      </c>
      <c r="S591">
        <v>100</v>
      </c>
      <c r="T591">
        <v>0.95</v>
      </c>
      <c r="U591" t="s">
        <v>18</v>
      </c>
    </row>
    <row r="592" spans="1:21" hidden="1" x14ac:dyDescent="0.25">
      <c r="A592" t="s">
        <v>34</v>
      </c>
      <c r="B592">
        <v>500</v>
      </c>
      <c r="C592">
        <v>105</v>
      </c>
      <c r="D592">
        <v>4</v>
      </c>
      <c r="E592">
        <v>0.20832300000000001</v>
      </c>
      <c r="F592">
        <v>92.2</v>
      </c>
      <c r="G592">
        <v>62.2</v>
      </c>
      <c r="H592">
        <v>0.67462039045553146</v>
      </c>
      <c r="I592">
        <v>67.845699999999994</v>
      </c>
      <c r="J592">
        <v>32.154299999999999</v>
      </c>
      <c r="K592">
        <v>90.476200000000006</v>
      </c>
      <c r="L592">
        <v>90</v>
      </c>
      <c r="M592">
        <v>100</v>
      </c>
      <c r="N592">
        <v>1394.3729499999999</v>
      </c>
      <c r="O592">
        <v>256.3</v>
      </c>
      <c r="P592">
        <v>1137.8</v>
      </c>
      <c r="Q592">
        <v>0.27295000000000003</v>
      </c>
      <c r="R592">
        <v>153.38910200000001</v>
      </c>
      <c r="S592">
        <v>100</v>
      </c>
      <c r="T592">
        <v>0.95</v>
      </c>
      <c r="U592" t="s">
        <v>18</v>
      </c>
    </row>
    <row r="593" spans="1:21" hidden="1" x14ac:dyDescent="0.25">
      <c r="A593" t="s">
        <v>34</v>
      </c>
      <c r="B593">
        <v>500</v>
      </c>
      <c r="C593">
        <v>105</v>
      </c>
      <c r="D593">
        <v>4</v>
      </c>
      <c r="E593">
        <v>0.20383200000000001</v>
      </c>
      <c r="F593">
        <v>92.2</v>
      </c>
      <c r="G593">
        <v>62.2</v>
      </c>
      <c r="H593">
        <v>0.67462039045553146</v>
      </c>
      <c r="I593">
        <v>69.131799999999998</v>
      </c>
      <c r="J593">
        <v>30.868200000000002</v>
      </c>
      <c r="K593">
        <v>92.381</v>
      </c>
      <c r="L593">
        <v>92</v>
      </c>
      <c r="M593">
        <v>100</v>
      </c>
      <c r="N593">
        <v>1394.5748900000001</v>
      </c>
      <c r="O593">
        <v>256.3</v>
      </c>
      <c r="P593">
        <v>1138</v>
      </c>
      <c r="Q593">
        <v>0.27489000000000002</v>
      </c>
      <c r="R593">
        <v>152.571831</v>
      </c>
      <c r="S593">
        <v>100</v>
      </c>
      <c r="T593">
        <v>0.95</v>
      </c>
      <c r="U593" t="s">
        <v>18</v>
      </c>
    </row>
    <row r="594" spans="1:21" hidden="1" x14ac:dyDescent="0.25">
      <c r="A594" t="s">
        <v>34</v>
      </c>
      <c r="B594">
        <v>500</v>
      </c>
      <c r="C594">
        <v>105</v>
      </c>
      <c r="D594">
        <v>4</v>
      </c>
      <c r="E594">
        <v>0.20927499999999999</v>
      </c>
      <c r="F594">
        <v>92.2</v>
      </c>
      <c r="G594">
        <v>62.2</v>
      </c>
      <c r="H594">
        <v>0.67462039045553146</v>
      </c>
      <c r="I594">
        <v>68.810299999999998</v>
      </c>
      <c r="J594">
        <v>31.189699999999998</v>
      </c>
      <c r="K594">
        <v>89.523799999999994</v>
      </c>
      <c r="L594">
        <v>89</v>
      </c>
      <c r="M594">
        <v>100</v>
      </c>
      <c r="N594">
        <v>1395.3723399999999</v>
      </c>
      <c r="O594">
        <v>256.3</v>
      </c>
      <c r="P594">
        <v>1138.8</v>
      </c>
      <c r="Q594">
        <v>0.27234000000000003</v>
      </c>
      <c r="R594">
        <v>152.43311800000001</v>
      </c>
      <c r="S594">
        <v>100</v>
      </c>
      <c r="T594">
        <v>0.95</v>
      </c>
      <c r="U594" t="s">
        <v>18</v>
      </c>
    </row>
    <row r="595" spans="1:21" hidden="1" x14ac:dyDescent="0.25">
      <c r="A595" t="s">
        <v>34</v>
      </c>
      <c r="B595">
        <v>500</v>
      </c>
      <c r="C595">
        <v>105</v>
      </c>
      <c r="D595">
        <v>4</v>
      </c>
      <c r="E595">
        <v>0.20632400000000001</v>
      </c>
      <c r="F595">
        <v>92.2</v>
      </c>
      <c r="G595">
        <v>62</v>
      </c>
      <c r="H595">
        <v>0.67245119305856826</v>
      </c>
      <c r="I595">
        <v>68.064499999999995</v>
      </c>
      <c r="J595">
        <v>31.935500000000001</v>
      </c>
      <c r="K595">
        <v>89.523799999999994</v>
      </c>
      <c r="L595">
        <v>89</v>
      </c>
      <c r="M595">
        <v>100</v>
      </c>
      <c r="N595">
        <v>1396.07302</v>
      </c>
      <c r="O595">
        <v>256.3</v>
      </c>
      <c r="P595">
        <v>1139.5</v>
      </c>
      <c r="Q595">
        <v>0.27301999999999998</v>
      </c>
      <c r="R595">
        <v>152.55536799999999</v>
      </c>
      <c r="S595">
        <v>100</v>
      </c>
      <c r="T595">
        <v>0.95</v>
      </c>
      <c r="U595" t="s">
        <v>18</v>
      </c>
    </row>
    <row r="596" spans="1:21" hidden="1" x14ac:dyDescent="0.25">
      <c r="A596" t="s">
        <v>34</v>
      </c>
      <c r="B596">
        <v>500</v>
      </c>
      <c r="C596">
        <v>105</v>
      </c>
      <c r="D596">
        <v>4</v>
      </c>
      <c r="E596">
        <v>0.21024699999999999</v>
      </c>
      <c r="F596">
        <v>92.2</v>
      </c>
      <c r="G596">
        <v>62</v>
      </c>
      <c r="H596">
        <v>0.67245119305856826</v>
      </c>
      <c r="I596">
        <v>68.387100000000004</v>
      </c>
      <c r="J596">
        <v>31.6129</v>
      </c>
      <c r="K596">
        <v>90.476200000000006</v>
      </c>
      <c r="L596">
        <v>90</v>
      </c>
      <c r="M596">
        <v>100</v>
      </c>
      <c r="N596">
        <v>1396.6738700000001</v>
      </c>
      <c r="O596">
        <v>256.3</v>
      </c>
      <c r="P596">
        <v>1140.0999999999999</v>
      </c>
      <c r="Q596">
        <v>0.27387</v>
      </c>
      <c r="R596">
        <v>154.155507</v>
      </c>
      <c r="S596">
        <v>100</v>
      </c>
      <c r="T596">
        <v>0.95</v>
      </c>
      <c r="U596" t="s">
        <v>18</v>
      </c>
    </row>
    <row r="597" spans="1:21" hidden="1" x14ac:dyDescent="0.25">
      <c r="A597" t="s">
        <v>34</v>
      </c>
      <c r="B597">
        <v>500</v>
      </c>
      <c r="C597">
        <v>105</v>
      </c>
      <c r="D597">
        <v>4</v>
      </c>
      <c r="E597">
        <v>0.21355499999999999</v>
      </c>
      <c r="F597">
        <v>92.2</v>
      </c>
      <c r="G597">
        <v>62</v>
      </c>
      <c r="H597">
        <v>0.67245119305856826</v>
      </c>
      <c r="I597">
        <v>69.032300000000006</v>
      </c>
      <c r="J597">
        <v>30.967700000000001</v>
      </c>
      <c r="K597">
        <v>89.523799999999994</v>
      </c>
      <c r="L597">
        <v>89</v>
      </c>
      <c r="M597">
        <v>100</v>
      </c>
      <c r="N597">
        <v>1397.07302</v>
      </c>
      <c r="O597">
        <v>256.3</v>
      </c>
      <c r="P597">
        <v>1140.5</v>
      </c>
      <c r="Q597">
        <v>0.27301999999999998</v>
      </c>
      <c r="R597">
        <v>151.31994800000001</v>
      </c>
      <c r="S597">
        <v>100</v>
      </c>
      <c r="T597">
        <v>0.95</v>
      </c>
      <c r="U597" t="s">
        <v>18</v>
      </c>
    </row>
    <row r="598" spans="1:21" hidden="1" x14ac:dyDescent="0.25">
      <c r="A598" t="s">
        <v>34</v>
      </c>
      <c r="B598">
        <v>500</v>
      </c>
      <c r="C598">
        <v>105</v>
      </c>
      <c r="D598">
        <v>4</v>
      </c>
      <c r="E598">
        <v>0.204209</v>
      </c>
      <c r="F598">
        <v>92.2</v>
      </c>
      <c r="G598">
        <v>62</v>
      </c>
      <c r="H598">
        <v>0.67245119305856826</v>
      </c>
      <c r="I598">
        <v>68.709699999999998</v>
      </c>
      <c r="J598">
        <v>31.290299999999998</v>
      </c>
      <c r="K598">
        <v>93.333299999999994</v>
      </c>
      <c r="L598">
        <v>93</v>
      </c>
      <c r="M598">
        <v>100</v>
      </c>
      <c r="N598">
        <v>1397.2765400000001</v>
      </c>
      <c r="O598">
        <v>256.3</v>
      </c>
      <c r="P598">
        <v>1140.7</v>
      </c>
      <c r="Q598">
        <v>0.27654000000000001</v>
      </c>
      <c r="R598">
        <v>153.098771</v>
      </c>
      <c r="S598">
        <v>100</v>
      </c>
      <c r="T598">
        <v>0.95</v>
      </c>
      <c r="U598" t="s">
        <v>18</v>
      </c>
    </row>
    <row r="599" spans="1:21" hidden="1" x14ac:dyDescent="0.25">
      <c r="A599" t="s">
        <v>34</v>
      </c>
      <c r="B599">
        <v>500</v>
      </c>
      <c r="C599">
        <v>105</v>
      </c>
      <c r="D599">
        <v>4</v>
      </c>
      <c r="E599">
        <v>0.20332700000000001</v>
      </c>
      <c r="F599">
        <v>92.2</v>
      </c>
      <c r="G599">
        <v>62</v>
      </c>
      <c r="H599">
        <v>0.67245119305856826</v>
      </c>
      <c r="I599">
        <v>68.387100000000004</v>
      </c>
      <c r="J599">
        <v>31.6129</v>
      </c>
      <c r="K599">
        <v>91.428600000000003</v>
      </c>
      <c r="L599">
        <v>91</v>
      </c>
      <c r="M599">
        <v>100</v>
      </c>
      <c r="N599">
        <v>1398.67472</v>
      </c>
      <c r="O599">
        <v>256.3</v>
      </c>
      <c r="P599">
        <v>1142.0999999999999</v>
      </c>
      <c r="Q599">
        <v>0.27472000000000002</v>
      </c>
      <c r="R599">
        <v>153.565629</v>
      </c>
      <c r="S599">
        <v>100</v>
      </c>
      <c r="T599">
        <v>0.95</v>
      </c>
      <c r="U599" t="s">
        <v>18</v>
      </c>
    </row>
    <row r="600" spans="1:21" hidden="1" x14ac:dyDescent="0.25">
      <c r="A600" t="s">
        <v>34</v>
      </c>
      <c r="B600">
        <v>500</v>
      </c>
      <c r="C600">
        <v>105</v>
      </c>
      <c r="D600">
        <v>4</v>
      </c>
      <c r="E600">
        <v>0.21255599999999999</v>
      </c>
      <c r="F600">
        <v>92.2</v>
      </c>
      <c r="G600">
        <v>61.8</v>
      </c>
      <c r="H600">
        <v>0.67028199566160518</v>
      </c>
      <c r="I600">
        <v>68.932000000000002</v>
      </c>
      <c r="J600">
        <v>31.068000000000001</v>
      </c>
      <c r="K600">
        <v>88.571399999999997</v>
      </c>
      <c r="L600">
        <v>88</v>
      </c>
      <c r="M600">
        <v>100</v>
      </c>
      <c r="N600">
        <v>1403.97081</v>
      </c>
      <c r="O600">
        <v>256.3</v>
      </c>
      <c r="P600">
        <v>1147.4000000000001</v>
      </c>
      <c r="Q600">
        <v>0.27081</v>
      </c>
      <c r="R600">
        <v>152.67073500000001</v>
      </c>
      <c r="S600">
        <v>100</v>
      </c>
      <c r="T600">
        <v>0.95</v>
      </c>
      <c r="U600" t="s">
        <v>18</v>
      </c>
    </row>
    <row r="601" spans="1:21" hidden="1" x14ac:dyDescent="0.25">
      <c r="A601" t="s">
        <v>34</v>
      </c>
      <c r="B601">
        <v>500</v>
      </c>
      <c r="C601">
        <v>105</v>
      </c>
      <c r="D601">
        <v>4</v>
      </c>
      <c r="E601">
        <v>0.21170900000000001</v>
      </c>
      <c r="F601">
        <v>92.2</v>
      </c>
      <c r="G601">
        <v>61.8</v>
      </c>
      <c r="H601">
        <v>0.67028199566160518</v>
      </c>
      <c r="I601">
        <v>69.255700000000004</v>
      </c>
      <c r="J601">
        <v>30.744299999999999</v>
      </c>
      <c r="K601">
        <v>87.619</v>
      </c>
      <c r="L601">
        <v>87</v>
      </c>
      <c r="M601">
        <v>100</v>
      </c>
      <c r="N601">
        <v>1408.7704000000001</v>
      </c>
      <c r="O601">
        <v>256.3</v>
      </c>
      <c r="P601">
        <v>1152.2</v>
      </c>
      <c r="Q601">
        <v>0.27039999999999997</v>
      </c>
      <c r="R601">
        <v>152.57937799999999</v>
      </c>
      <c r="S601">
        <v>100</v>
      </c>
      <c r="T601">
        <v>0.95</v>
      </c>
      <c r="U601" t="s">
        <v>18</v>
      </c>
    </row>
    <row r="602" spans="1:21" hidden="1" x14ac:dyDescent="0.25">
      <c r="A602" t="s">
        <v>33</v>
      </c>
      <c r="B602">
        <v>500</v>
      </c>
      <c r="C602">
        <v>105</v>
      </c>
      <c r="D602">
        <v>4</v>
      </c>
      <c r="E602">
        <v>0.16244800000000001</v>
      </c>
      <c r="F602">
        <v>92.2</v>
      </c>
      <c r="G602">
        <v>45.2</v>
      </c>
      <c r="H602">
        <v>0.49023861171366595</v>
      </c>
      <c r="I602">
        <v>97.787599999999998</v>
      </c>
      <c r="J602">
        <v>2.2124000000000001</v>
      </c>
      <c r="K602">
        <v>94.285700000000006</v>
      </c>
      <c r="L602">
        <v>94</v>
      </c>
      <c r="M602">
        <v>100</v>
      </c>
      <c r="N602">
        <v>1929.67659</v>
      </c>
      <c r="O602">
        <v>256.3</v>
      </c>
      <c r="P602">
        <v>1673.1</v>
      </c>
      <c r="Q602">
        <v>0.27659</v>
      </c>
      <c r="R602">
        <v>125.859109</v>
      </c>
      <c r="S602">
        <v>100</v>
      </c>
      <c r="T602">
        <v>0.95</v>
      </c>
      <c r="U602" t="s">
        <v>17</v>
      </c>
    </row>
    <row r="603" spans="1:21" hidden="1" x14ac:dyDescent="0.25">
      <c r="A603" t="s">
        <v>33</v>
      </c>
      <c r="B603">
        <v>500</v>
      </c>
      <c r="C603">
        <v>105</v>
      </c>
      <c r="D603">
        <v>4</v>
      </c>
      <c r="E603">
        <v>0.16054499999999999</v>
      </c>
      <c r="F603">
        <v>92.2</v>
      </c>
      <c r="G603">
        <v>45.2</v>
      </c>
      <c r="H603">
        <v>0.49023861171366595</v>
      </c>
      <c r="I603">
        <v>97.787599999999998</v>
      </c>
      <c r="J603">
        <v>2.2124000000000001</v>
      </c>
      <c r="K603">
        <v>94.285700000000006</v>
      </c>
      <c r="L603">
        <v>94</v>
      </c>
      <c r="M603">
        <v>100</v>
      </c>
      <c r="N603">
        <v>1929.67659</v>
      </c>
      <c r="O603">
        <v>256.3</v>
      </c>
      <c r="P603">
        <v>1673.1</v>
      </c>
      <c r="Q603">
        <v>0.27659</v>
      </c>
      <c r="R603">
        <v>125.85906900000001</v>
      </c>
      <c r="S603">
        <v>100</v>
      </c>
      <c r="T603">
        <v>0.95</v>
      </c>
      <c r="U603" t="s">
        <v>17</v>
      </c>
    </row>
    <row r="604" spans="1:21" hidden="1" x14ac:dyDescent="0.25">
      <c r="A604" t="s">
        <v>33</v>
      </c>
      <c r="B604">
        <v>500</v>
      </c>
      <c r="C604">
        <v>105</v>
      </c>
      <c r="D604">
        <v>4</v>
      </c>
      <c r="E604">
        <v>0.16167100000000001</v>
      </c>
      <c r="F604">
        <v>92.2</v>
      </c>
      <c r="G604">
        <v>45.2</v>
      </c>
      <c r="H604">
        <v>0.49023861171366595</v>
      </c>
      <c r="I604">
        <v>97.787599999999998</v>
      </c>
      <c r="J604">
        <v>2.2124000000000001</v>
      </c>
      <c r="K604">
        <v>94.285700000000006</v>
      </c>
      <c r="L604">
        <v>94</v>
      </c>
      <c r="M604">
        <v>100</v>
      </c>
      <c r="N604">
        <v>1929.67659</v>
      </c>
      <c r="O604">
        <v>256.3</v>
      </c>
      <c r="P604">
        <v>1673.1</v>
      </c>
      <c r="Q604">
        <v>0.27659</v>
      </c>
      <c r="R604">
        <v>125.830568</v>
      </c>
      <c r="S604">
        <v>100</v>
      </c>
      <c r="T604">
        <v>0.95</v>
      </c>
      <c r="U604" t="s">
        <v>17</v>
      </c>
    </row>
    <row r="605" spans="1:21" hidden="1" x14ac:dyDescent="0.25">
      <c r="A605" t="s">
        <v>33</v>
      </c>
      <c r="B605">
        <v>500</v>
      </c>
      <c r="C605">
        <v>105</v>
      </c>
      <c r="D605">
        <v>4</v>
      </c>
      <c r="E605">
        <v>0.16381799999999999</v>
      </c>
      <c r="F605">
        <v>92.2</v>
      </c>
      <c r="G605">
        <v>45.2</v>
      </c>
      <c r="H605">
        <v>0.49023861171366595</v>
      </c>
      <c r="I605">
        <v>97.787599999999998</v>
      </c>
      <c r="J605">
        <v>2.2124000000000001</v>
      </c>
      <c r="K605">
        <v>94.285700000000006</v>
      </c>
      <c r="L605">
        <v>94</v>
      </c>
      <c r="M605">
        <v>100</v>
      </c>
      <c r="N605">
        <v>1929.67659</v>
      </c>
      <c r="O605">
        <v>256.3</v>
      </c>
      <c r="P605">
        <v>1673.1</v>
      </c>
      <c r="Q605">
        <v>0.27659</v>
      </c>
      <c r="R605">
        <v>125.83063300000001</v>
      </c>
      <c r="S605">
        <v>100</v>
      </c>
      <c r="T605">
        <v>0.95</v>
      </c>
      <c r="U605" t="s">
        <v>17</v>
      </c>
    </row>
    <row r="606" spans="1:21" hidden="1" x14ac:dyDescent="0.25">
      <c r="A606" t="s">
        <v>33</v>
      </c>
      <c r="B606">
        <v>500</v>
      </c>
      <c r="C606">
        <v>105</v>
      </c>
      <c r="D606">
        <v>4</v>
      </c>
      <c r="E606">
        <v>0.16298599999999999</v>
      </c>
      <c r="F606">
        <v>92.2</v>
      </c>
      <c r="G606">
        <v>45.2</v>
      </c>
      <c r="H606">
        <v>0.49023861171366595</v>
      </c>
      <c r="I606">
        <v>97.787599999999998</v>
      </c>
      <c r="J606">
        <v>2.2124000000000001</v>
      </c>
      <c r="K606">
        <v>94.285700000000006</v>
      </c>
      <c r="L606">
        <v>94</v>
      </c>
      <c r="M606">
        <v>100</v>
      </c>
      <c r="N606">
        <v>1929.67659</v>
      </c>
      <c r="O606">
        <v>256.3</v>
      </c>
      <c r="P606">
        <v>1673.1</v>
      </c>
      <c r="Q606">
        <v>0.27659</v>
      </c>
      <c r="R606">
        <v>125.830568</v>
      </c>
      <c r="S606">
        <v>100</v>
      </c>
      <c r="T606">
        <v>0.95</v>
      </c>
      <c r="U606" t="s">
        <v>17</v>
      </c>
    </row>
    <row r="607" spans="1:21" hidden="1" x14ac:dyDescent="0.25">
      <c r="A607" t="s">
        <v>33</v>
      </c>
      <c r="B607">
        <v>500</v>
      </c>
      <c r="C607">
        <v>105</v>
      </c>
      <c r="D607">
        <v>4</v>
      </c>
      <c r="E607">
        <v>0.16120300000000001</v>
      </c>
      <c r="F607">
        <v>92.2</v>
      </c>
      <c r="G607">
        <v>45.2</v>
      </c>
      <c r="H607">
        <v>0.49023861171366595</v>
      </c>
      <c r="I607">
        <v>97.787599999999998</v>
      </c>
      <c r="J607">
        <v>2.2124000000000001</v>
      </c>
      <c r="K607">
        <v>94.285700000000006</v>
      </c>
      <c r="L607">
        <v>94</v>
      </c>
      <c r="M607">
        <v>100</v>
      </c>
      <c r="N607">
        <v>1929.67659</v>
      </c>
      <c r="O607">
        <v>256.3</v>
      </c>
      <c r="P607">
        <v>1673.1</v>
      </c>
      <c r="Q607">
        <v>0.27659</v>
      </c>
      <c r="R607">
        <v>125.85913600000001</v>
      </c>
      <c r="S607">
        <v>100</v>
      </c>
      <c r="T607">
        <v>0.95</v>
      </c>
      <c r="U607" t="s">
        <v>17</v>
      </c>
    </row>
    <row r="608" spans="1:21" hidden="1" x14ac:dyDescent="0.25">
      <c r="A608" t="s">
        <v>33</v>
      </c>
      <c r="B608">
        <v>500</v>
      </c>
      <c r="C608">
        <v>105</v>
      </c>
      <c r="D608">
        <v>4</v>
      </c>
      <c r="E608">
        <v>0.162047</v>
      </c>
      <c r="F608">
        <v>92.2</v>
      </c>
      <c r="G608">
        <v>45.2</v>
      </c>
      <c r="H608">
        <v>0.49023861171366595</v>
      </c>
      <c r="I608">
        <v>97.787599999999998</v>
      </c>
      <c r="J608">
        <v>2.2124000000000001</v>
      </c>
      <c r="K608">
        <v>94.285700000000006</v>
      </c>
      <c r="L608">
        <v>94</v>
      </c>
      <c r="M608">
        <v>100</v>
      </c>
      <c r="N608">
        <v>1929.67659</v>
      </c>
      <c r="O608">
        <v>256.3</v>
      </c>
      <c r="P608">
        <v>1673.1</v>
      </c>
      <c r="Q608">
        <v>0.27659</v>
      </c>
      <c r="R608">
        <v>125.830568</v>
      </c>
      <c r="S608">
        <v>100</v>
      </c>
      <c r="T608">
        <v>0.95</v>
      </c>
      <c r="U608" t="s">
        <v>17</v>
      </c>
    </row>
    <row r="609" spans="1:21" hidden="1" x14ac:dyDescent="0.25">
      <c r="A609" t="s">
        <v>33</v>
      </c>
      <c r="B609">
        <v>500</v>
      </c>
      <c r="C609">
        <v>105</v>
      </c>
      <c r="D609">
        <v>4</v>
      </c>
      <c r="E609">
        <v>0.16253899999999999</v>
      </c>
      <c r="F609">
        <v>92.2</v>
      </c>
      <c r="G609">
        <v>45.2</v>
      </c>
      <c r="H609">
        <v>0.49023861171366595</v>
      </c>
      <c r="I609">
        <v>97.787599999999998</v>
      </c>
      <c r="J609">
        <v>2.2124000000000001</v>
      </c>
      <c r="K609">
        <v>94.285700000000006</v>
      </c>
      <c r="L609">
        <v>94</v>
      </c>
      <c r="M609">
        <v>100</v>
      </c>
      <c r="N609">
        <v>1929.67659</v>
      </c>
      <c r="O609">
        <v>256.3</v>
      </c>
      <c r="P609">
        <v>1673.1</v>
      </c>
      <c r="Q609">
        <v>0.27659</v>
      </c>
      <c r="R609">
        <v>125.859075</v>
      </c>
      <c r="S609">
        <v>100</v>
      </c>
      <c r="T609">
        <v>0.95</v>
      </c>
      <c r="U609" t="s">
        <v>17</v>
      </c>
    </row>
    <row r="610" spans="1:21" hidden="1" x14ac:dyDescent="0.25">
      <c r="A610" t="s">
        <v>33</v>
      </c>
      <c r="B610">
        <v>500</v>
      </c>
      <c r="C610">
        <v>105</v>
      </c>
      <c r="D610">
        <v>4</v>
      </c>
      <c r="E610">
        <v>0.16098499999999999</v>
      </c>
      <c r="F610">
        <v>92.2</v>
      </c>
      <c r="G610">
        <v>45.2</v>
      </c>
      <c r="H610">
        <v>0.49023861171366595</v>
      </c>
      <c r="I610">
        <v>97.787599999999998</v>
      </c>
      <c r="J610">
        <v>2.2124000000000001</v>
      </c>
      <c r="K610">
        <v>94.285700000000006</v>
      </c>
      <c r="L610">
        <v>94</v>
      </c>
      <c r="M610">
        <v>100</v>
      </c>
      <c r="N610">
        <v>1929.67659</v>
      </c>
      <c r="O610">
        <v>256.3</v>
      </c>
      <c r="P610">
        <v>1673.1</v>
      </c>
      <c r="Q610">
        <v>0.27659</v>
      </c>
      <c r="R610">
        <v>125.859082</v>
      </c>
      <c r="S610">
        <v>100</v>
      </c>
      <c r="T610">
        <v>0.95</v>
      </c>
      <c r="U610" t="s">
        <v>17</v>
      </c>
    </row>
    <row r="611" spans="1:21" hidden="1" x14ac:dyDescent="0.25">
      <c r="A611" t="s">
        <v>33</v>
      </c>
      <c r="B611">
        <v>500</v>
      </c>
      <c r="C611">
        <v>105</v>
      </c>
      <c r="D611">
        <v>4</v>
      </c>
      <c r="E611">
        <v>0.16211</v>
      </c>
      <c r="F611">
        <v>92.2</v>
      </c>
      <c r="G611">
        <v>45.2</v>
      </c>
      <c r="H611">
        <v>0.49023861171366595</v>
      </c>
      <c r="I611">
        <v>97.787599999999998</v>
      </c>
      <c r="J611">
        <v>2.2124000000000001</v>
      </c>
      <c r="K611">
        <v>94.285700000000006</v>
      </c>
      <c r="L611">
        <v>94</v>
      </c>
      <c r="M611">
        <v>100</v>
      </c>
      <c r="N611">
        <v>1929.67659</v>
      </c>
      <c r="O611">
        <v>256.3</v>
      </c>
      <c r="P611">
        <v>1673.1</v>
      </c>
      <c r="Q611">
        <v>0.27659</v>
      </c>
      <c r="R611">
        <v>125.85907899999999</v>
      </c>
      <c r="S611">
        <v>100</v>
      </c>
      <c r="T611">
        <v>0.95</v>
      </c>
      <c r="U611" t="s">
        <v>17</v>
      </c>
    </row>
    <row r="612" spans="1:21" hidden="1" x14ac:dyDescent="0.25">
      <c r="A612" t="s">
        <v>33</v>
      </c>
      <c r="B612">
        <v>500</v>
      </c>
      <c r="C612">
        <v>105</v>
      </c>
      <c r="D612">
        <v>4</v>
      </c>
      <c r="E612">
        <v>0.162388</v>
      </c>
      <c r="F612">
        <v>92.2</v>
      </c>
      <c r="G612">
        <v>45.2</v>
      </c>
      <c r="H612">
        <v>0.49023861171366595</v>
      </c>
      <c r="I612">
        <v>97.787599999999998</v>
      </c>
      <c r="J612">
        <v>2.2124000000000001</v>
      </c>
      <c r="K612">
        <v>94.285700000000006</v>
      </c>
      <c r="L612">
        <v>94</v>
      </c>
      <c r="M612">
        <v>100</v>
      </c>
      <c r="N612">
        <v>1929.67659</v>
      </c>
      <c r="O612">
        <v>256.3</v>
      </c>
      <c r="P612">
        <v>1673.1</v>
      </c>
      <c r="Q612">
        <v>0.27659</v>
      </c>
      <c r="R612">
        <v>125.830567</v>
      </c>
      <c r="S612">
        <v>100</v>
      </c>
      <c r="T612">
        <v>0.95</v>
      </c>
      <c r="U612" t="s">
        <v>17</v>
      </c>
    </row>
    <row r="613" spans="1:21" hidden="1" x14ac:dyDescent="0.25">
      <c r="A613" t="s">
        <v>33</v>
      </c>
      <c r="B613">
        <v>500</v>
      </c>
      <c r="C613">
        <v>105</v>
      </c>
      <c r="D613">
        <v>4</v>
      </c>
      <c r="E613">
        <v>0.16103899999999999</v>
      </c>
      <c r="F613">
        <v>92.2</v>
      </c>
      <c r="G613">
        <v>45.2</v>
      </c>
      <c r="H613">
        <v>0.49023861171366595</v>
      </c>
      <c r="I613">
        <v>97.787599999999998</v>
      </c>
      <c r="J613">
        <v>2.2124000000000001</v>
      </c>
      <c r="K613">
        <v>95.238100000000003</v>
      </c>
      <c r="L613">
        <v>95</v>
      </c>
      <c r="M613">
        <v>100</v>
      </c>
      <c r="N613">
        <v>1929.6775600000001</v>
      </c>
      <c r="O613">
        <v>256.3</v>
      </c>
      <c r="P613">
        <v>1673.1</v>
      </c>
      <c r="Q613">
        <v>0.27755999999999997</v>
      </c>
      <c r="R613">
        <v>125.878244</v>
      </c>
      <c r="S613">
        <v>100</v>
      </c>
      <c r="T613">
        <v>0.95</v>
      </c>
      <c r="U613" t="s">
        <v>17</v>
      </c>
    </row>
    <row r="614" spans="1:21" hidden="1" x14ac:dyDescent="0.25">
      <c r="A614" t="s">
        <v>33</v>
      </c>
      <c r="B614">
        <v>500</v>
      </c>
      <c r="C614">
        <v>105</v>
      </c>
      <c r="D614">
        <v>4</v>
      </c>
      <c r="E614">
        <v>0.16328200000000001</v>
      </c>
      <c r="F614">
        <v>92.2</v>
      </c>
      <c r="G614">
        <v>45.2</v>
      </c>
      <c r="H614">
        <v>0.49023861171366595</v>
      </c>
      <c r="I614">
        <v>97.787599999999998</v>
      </c>
      <c r="J614">
        <v>2.2124000000000001</v>
      </c>
      <c r="K614">
        <v>95.238100000000003</v>
      </c>
      <c r="L614">
        <v>95</v>
      </c>
      <c r="M614">
        <v>100</v>
      </c>
      <c r="N614">
        <v>1929.6775600000001</v>
      </c>
      <c r="O614">
        <v>256.3</v>
      </c>
      <c r="P614">
        <v>1673.1</v>
      </c>
      <c r="Q614">
        <v>0.27755999999999997</v>
      </c>
      <c r="R614">
        <v>125.906662</v>
      </c>
      <c r="S614">
        <v>100</v>
      </c>
      <c r="T614">
        <v>0.95</v>
      </c>
      <c r="U614" t="s">
        <v>17</v>
      </c>
    </row>
    <row r="615" spans="1:21" hidden="1" x14ac:dyDescent="0.25">
      <c r="A615" t="s">
        <v>33</v>
      </c>
      <c r="B615">
        <v>500</v>
      </c>
      <c r="C615">
        <v>105</v>
      </c>
      <c r="D615">
        <v>4</v>
      </c>
      <c r="E615">
        <v>0.160521</v>
      </c>
      <c r="F615">
        <v>92.2</v>
      </c>
      <c r="G615">
        <v>45.2</v>
      </c>
      <c r="H615">
        <v>0.49023861171366595</v>
      </c>
      <c r="I615">
        <v>97.787599999999998</v>
      </c>
      <c r="J615">
        <v>2.2124000000000001</v>
      </c>
      <c r="K615">
        <v>95.238100000000003</v>
      </c>
      <c r="L615">
        <v>95</v>
      </c>
      <c r="M615">
        <v>100</v>
      </c>
      <c r="N615">
        <v>1929.6775600000001</v>
      </c>
      <c r="O615">
        <v>256.3</v>
      </c>
      <c r="P615">
        <v>1673.1</v>
      </c>
      <c r="Q615">
        <v>0.27755999999999997</v>
      </c>
      <c r="R615">
        <v>125.906694</v>
      </c>
      <c r="S615">
        <v>100</v>
      </c>
      <c r="T615">
        <v>0.95</v>
      </c>
      <c r="U615" t="s">
        <v>17</v>
      </c>
    </row>
    <row r="616" spans="1:21" hidden="1" x14ac:dyDescent="0.25">
      <c r="A616" t="s">
        <v>33</v>
      </c>
      <c r="B616">
        <v>500</v>
      </c>
      <c r="C616">
        <v>105</v>
      </c>
      <c r="D616">
        <v>4</v>
      </c>
      <c r="E616">
        <v>0.16295699999999999</v>
      </c>
      <c r="F616">
        <v>92.2</v>
      </c>
      <c r="G616">
        <v>45.2</v>
      </c>
      <c r="H616">
        <v>0.49023861171366595</v>
      </c>
      <c r="I616">
        <v>97.787599999999998</v>
      </c>
      <c r="J616">
        <v>2.2124000000000001</v>
      </c>
      <c r="K616">
        <v>95.238100000000003</v>
      </c>
      <c r="L616">
        <v>95</v>
      </c>
      <c r="M616">
        <v>100</v>
      </c>
      <c r="N616">
        <v>1929.6775600000001</v>
      </c>
      <c r="O616">
        <v>256.3</v>
      </c>
      <c r="P616">
        <v>1673.1</v>
      </c>
      <c r="Q616">
        <v>0.27755999999999997</v>
      </c>
      <c r="R616">
        <v>125.878146</v>
      </c>
      <c r="S616">
        <v>100</v>
      </c>
      <c r="T616">
        <v>0.95</v>
      </c>
      <c r="U616" t="s">
        <v>17</v>
      </c>
    </row>
    <row r="617" spans="1:21" hidden="1" x14ac:dyDescent="0.25">
      <c r="A617" t="s">
        <v>33</v>
      </c>
      <c r="B617">
        <v>500</v>
      </c>
      <c r="C617">
        <v>105</v>
      </c>
      <c r="D617">
        <v>4</v>
      </c>
      <c r="E617">
        <v>0.161167</v>
      </c>
      <c r="F617">
        <v>92.2</v>
      </c>
      <c r="G617">
        <v>45.2</v>
      </c>
      <c r="H617">
        <v>0.49023861171366595</v>
      </c>
      <c r="I617">
        <v>97.787599999999998</v>
      </c>
      <c r="J617">
        <v>2.2124000000000001</v>
      </c>
      <c r="K617">
        <v>95.238100000000003</v>
      </c>
      <c r="L617">
        <v>95</v>
      </c>
      <c r="M617">
        <v>100</v>
      </c>
      <c r="N617">
        <v>1929.67812</v>
      </c>
      <c r="O617">
        <v>256.3</v>
      </c>
      <c r="P617">
        <v>1673.1</v>
      </c>
      <c r="Q617">
        <v>0.27811999999999998</v>
      </c>
      <c r="R617">
        <v>125.859047</v>
      </c>
      <c r="S617">
        <v>100</v>
      </c>
      <c r="T617">
        <v>0.95</v>
      </c>
      <c r="U617" t="s">
        <v>17</v>
      </c>
    </row>
    <row r="618" spans="1:21" hidden="1" x14ac:dyDescent="0.25">
      <c r="A618" t="s">
        <v>33</v>
      </c>
      <c r="B618">
        <v>500</v>
      </c>
      <c r="C618">
        <v>105</v>
      </c>
      <c r="D618">
        <v>4</v>
      </c>
      <c r="E618">
        <v>0.16334000000000001</v>
      </c>
      <c r="F618">
        <v>92.2</v>
      </c>
      <c r="G618">
        <v>45.2</v>
      </c>
      <c r="H618">
        <v>0.49023861171366595</v>
      </c>
      <c r="I618">
        <v>97.787599999999998</v>
      </c>
      <c r="J618">
        <v>2.2124000000000001</v>
      </c>
      <c r="K618">
        <v>95.238100000000003</v>
      </c>
      <c r="L618">
        <v>95</v>
      </c>
      <c r="M618">
        <v>100</v>
      </c>
      <c r="N618">
        <v>1929.67812</v>
      </c>
      <c r="O618">
        <v>256.3</v>
      </c>
      <c r="P618">
        <v>1673.1</v>
      </c>
      <c r="Q618">
        <v>0.27811999999999998</v>
      </c>
      <c r="R618">
        <v>125.859082</v>
      </c>
      <c r="S618">
        <v>100</v>
      </c>
      <c r="T618">
        <v>0.95</v>
      </c>
      <c r="U618" t="s">
        <v>17</v>
      </c>
    </row>
    <row r="619" spans="1:21" hidden="1" x14ac:dyDescent="0.25">
      <c r="A619" t="s">
        <v>33</v>
      </c>
      <c r="B619">
        <v>500</v>
      </c>
      <c r="C619">
        <v>105</v>
      </c>
      <c r="D619">
        <v>4</v>
      </c>
      <c r="E619">
        <v>0.16137299999999999</v>
      </c>
      <c r="F619">
        <v>92.2</v>
      </c>
      <c r="G619">
        <v>45.2</v>
      </c>
      <c r="H619">
        <v>0.49023861171366595</v>
      </c>
      <c r="I619">
        <v>97.787599999999998</v>
      </c>
      <c r="J619">
        <v>2.2124000000000001</v>
      </c>
      <c r="K619">
        <v>95.238100000000003</v>
      </c>
      <c r="L619">
        <v>95</v>
      </c>
      <c r="M619">
        <v>100</v>
      </c>
      <c r="N619">
        <v>1929.67812</v>
      </c>
      <c r="O619">
        <v>256.3</v>
      </c>
      <c r="P619">
        <v>1673.1</v>
      </c>
      <c r="Q619">
        <v>0.27811999999999998</v>
      </c>
      <c r="R619">
        <v>125.859126</v>
      </c>
      <c r="S619">
        <v>100</v>
      </c>
      <c r="T619">
        <v>0.95</v>
      </c>
      <c r="U619" t="s">
        <v>17</v>
      </c>
    </row>
    <row r="620" spans="1:21" hidden="1" x14ac:dyDescent="0.25">
      <c r="A620" t="s">
        <v>33</v>
      </c>
      <c r="B620">
        <v>500</v>
      </c>
      <c r="C620">
        <v>105</v>
      </c>
      <c r="D620">
        <v>4</v>
      </c>
      <c r="E620">
        <v>0.15956999999999999</v>
      </c>
      <c r="F620">
        <v>92.2</v>
      </c>
      <c r="G620">
        <v>45.2</v>
      </c>
      <c r="H620">
        <v>0.49023861171366595</v>
      </c>
      <c r="I620">
        <v>97.787599999999998</v>
      </c>
      <c r="J620">
        <v>2.2124000000000001</v>
      </c>
      <c r="K620">
        <v>95.238100000000003</v>
      </c>
      <c r="L620">
        <v>95</v>
      </c>
      <c r="M620">
        <v>100</v>
      </c>
      <c r="N620">
        <v>1929.67812</v>
      </c>
      <c r="O620">
        <v>256.3</v>
      </c>
      <c r="P620">
        <v>1673.1</v>
      </c>
      <c r="Q620">
        <v>0.27811999999999998</v>
      </c>
      <c r="R620">
        <v>125.859082</v>
      </c>
      <c r="S620">
        <v>100</v>
      </c>
      <c r="T620">
        <v>0.95</v>
      </c>
      <c r="U620" t="s">
        <v>17</v>
      </c>
    </row>
    <row r="621" spans="1:21" hidden="1" x14ac:dyDescent="0.25">
      <c r="A621" t="s">
        <v>33</v>
      </c>
      <c r="B621">
        <v>500</v>
      </c>
      <c r="C621">
        <v>105</v>
      </c>
      <c r="D621">
        <v>4</v>
      </c>
      <c r="E621">
        <v>0.16053600000000001</v>
      </c>
      <c r="F621">
        <v>92.2</v>
      </c>
      <c r="G621">
        <v>45.2</v>
      </c>
      <c r="H621">
        <v>0.49023861171366595</v>
      </c>
      <c r="I621">
        <v>97.787599999999998</v>
      </c>
      <c r="J621">
        <v>2.2124000000000001</v>
      </c>
      <c r="K621">
        <v>95.238100000000003</v>
      </c>
      <c r="L621">
        <v>95</v>
      </c>
      <c r="M621">
        <v>100</v>
      </c>
      <c r="N621">
        <v>1929.67812</v>
      </c>
      <c r="O621">
        <v>256.3</v>
      </c>
      <c r="P621">
        <v>1673.1</v>
      </c>
      <c r="Q621">
        <v>0.27811999999999998</v>
      </c>
      <c r="R621">
        <v>125.859106</v>
      </c>
      <c r="S621">
        <v>100</v>
      </c>
      <c r="T621">
        <v>0.95</v>
      </c>
      <c r="U621" t="s">
        <v>17</v>
      </c>
    </row>
    <row r="622" spans="1:21" hidden="1" x14ac:dyDescent="0.25">
      <c r="A622" t="s">
        <v>33</v>
      </c>
      <c r="B622">
        <v>500</v>
      </c>
      <c r="C622">
        <v>105</v>
      </c>
      <c r="D622">
        <v>4</v>
      </c>
      <c r="E622">
        <v>0.16176399999999999</v>
      </c>
      <c r="F622">
        <v>92.2</v>
      </c>
      <c r="G622">
        <v>45.2</v>
      </c>
      <c r="H622">
        <v>0.49023861171366595</v>
      </c>
      <c r="I622">
        <v>97.787599999999998</v>
      </c>
      <c r="J622">
        <v>2.2124000000000001</v>
      </c>
      <c r="K622">
        <v>95.238100000000003</v>
      </c>
      <c r="L622">
        <v>95</v>
      </c>
      <c r="M622">
        <v>100</v>
      </c>
      <c r="N622">
        <v>1929.67812</v>
      </c>
      <c r="O622">
        <v>256.3</v>
      </c>
      <c r="P622">
        <v>1673.1</v>
      </c>
      <c r="Q622">
        <v>0.27811999999999998</v>
      </c>
      <c r="R622">
        <v>125.859127</v>
      </c>
      <c r="S622">
        <v>100</v>
      </c>
      <c r="T622">
        <v>0.95</v>
      </c>
      <c r="U622" t="s">
        <v>17</v>
      </c>
    </row>
    <row r="623" spans="1:21" hidden="1" x14ac:dyDescent="0.25">
      <c r="A623" t="s">
        <v>33</v>
      </c>
      <c r="B623">
        <v>500</v>
      </c>
      <c r="C623">
        <v>105</v>
      </c>
      <c r="D623">
        <v>4</v>
      </c>
      <c r="E623">
        <v>0.163963</v>
      </c>
      <c r="F623">
        <v>92.2</v>
      </c>
      <c r="G623">
        <v>45.2</v>
      </c>
      <c r="H623">
        <v>0.49023861171366595</v>
      </c>
      <c r="I623">
        <v>97.787599999999998</v>
      </c>
      <c r="J623">
        <v>2.2124000000000001</v>
      </c>
      <c r="K623">
        <v>95.238100000000003</v>
      </c>
      <c r="L623">
        <v>95</v>
      </c>
      <c r="M623">
        <v>100</v>
      </c>
      <c r="N623">
        <v>1929.67812</v>
      </c>
      <c r="O623">
        <v>256.3</v>
      </c>
      <c r="P623">
        <v>1673.1</v>
      </c>
      <c r="Q623">
        <v>0.27811999999999998</v>
      </c>
      <c r="R623">
        <v>125.85921999999999</v>
      </c>
      <c r="S623">
        <v>100</v>
      </c>
      <c r="T623">
        <v>0.95</v>
      </c>
      <c r="U623" t="s">
        <v>17</v>
      </c>
    </row>
    <row r="624" spans="1:21" hidden="1" x14ac:dyDescent="0.25">
      <c r="A624" t="s">
        <v>33</v>
      </c>
      <c r="B624">
        <v>500</v>
      </c>
      <c r="C624">
        <v>105</v>
      </c>
      <c r="D624">
        <v>4</v>
      </c>
      <c r="E624">
        <v>0.162304</v>
      </c>
      <c r="F624">
        <v>92.2</v>
      </c>
      <c r="G624">
        <v>45.2</v>
      </c>
      <c r="H624">
        <v>0.49023861171366595</v>
      </c>
      <c r="I624">
        <v>97.787599999999998</v>
      </c>
      <c r="J624">
        <v>2.2124000000000001</v>
      </c>
      <c r="K624">
        <v>95.238100000000003</v>
      </c>
      <c r="L624">
        <v>95</v>
      </c>
      <c r="M624">
        <v>100</v>
      </c>
      <c r="N624">
        <v>1929.67812</v>
      </c>
      <c r="O624">
        <v>256.3</v>
      </c>
      <c r="P624">
        <v>1673.1</v>
      </c>
      <c r="Q624">
        <v>0.27811999999999998</v>
      </c>
      <c r="R624">
        <v>125.859104</v>
      </c>
      <c r="S624">
        <v>100</v>
      </c>
      <c r="T624">
        <v>0.95</v>
      </c>
      <c r="U624" t="s">
        <v>17</v>
      </c>
    </row>
    <row r="625" spans="1:21" hidden="1" x14ac:dyDescent="0.25">
      <c r="A625" t="s">
        <v>33</v>
      </c>
      <c r="B625">
        <v>500</v>
      </c>
      <c r="C625">
        <v>105</v>
      </c>
      <c r="D625">
        <v>4</v>
      </c>
      <c r="E625">
        <v>0.16276399999999999</v>
      </c>
      <c r="F625">
        <v>92.2</v>
      </c>
      <c r="G625">
        <v>45.2</v>
      </c>
      <c r="H625">
        <v>0.49023861171366595</v>
      </c>
      <c r="I625">
        <v>97.787599999999998</v>
      </c>
      <c r="J625">
        <v>2.2124000000000001</v>
      </c>
      <c r="K625">
        <v>96.1905</v>
      </c>
      <c r="L625">
        <v>96</v>
      </c>
      <c r="M625">
        <v>100</v>
      </c>
      <c r="N625">
        <v>1929.6790900000001</v>
      </c>
      <c r="O625">
        <v>256.3</v>
      </c>
      <c r="P625">
        <v>1673.1</v>
      </c>
      <c r="Q625">
        <v>0.27909</v>
      </c>
      <c r="R625">
        <v>125.906717</v>
      </c>
      <c r="S625">
        <v>100</v>
      </c>
      <c r="T625">
        <v>0.95</v>
      </c>
      <c r="U625" t="s">
        <v>17</v>
      </c>
    </row>
    <row r="626" spans="1:21" hidden="1" x14ac:dyDescent="0.25">
      <c r="A626" t="s">
        <v>33</v>
      </c>
      <c r="B626">
        <v>500</v>
      </c>
      <c r="C626">
        <v>105</v>
      </c>
      <c r="D626">
        <v>4</v>
      </c>
      <c r="E626">
        <v>0.160659</v>
      </c>
      <c r="F626">
        <v>92.2</v>
      </c>
      <c r="G626">
        <v>45.2</v>
      </c>
      <c r="H626">
        <v>0.49023861171366595</v>
      </c>
      <c r="I626">
        <v>97.787599999999998</v>
      </c>
      <c r="J626">
        <v>2.2124000000000001</v>
      </c>
      <c r="K626">
        <v>96.1905</v>
      </c>
      <c r="L626">
        <v>96</v>
      </c>
      <c r="M626">
        <v>100</v>
      </c>
      <c r="N626">
        <v>1929.6790900000001</v>
      </c>
      <c r="O626">
        <v>256.3</v>
      </c>
      <c r="P626">
        <v>1673.1</v>
      </c>
      <c r="Q626">
        <v>0.27909</v>
      </c>
      <c r="R626">
        <v>125.87823400000001</v>
      </c>
      <c r="S626">
        <v>100</v>
      </c>
      <c r="T626">
        <v>0.95</v>
      </c>
      <c r="U626" t="s">
        <v>17</v>
      </c>
    </row>
    <row r="627" spans="1:21" hidden="1" x14ac:dyDescent="0.25">
      <c r="A627" t="s">
        <v>33</v>
      </c>
      <c r="B627">
        <v>500</v>
      </c>
      <c r="C627">
        <v>105</v>
      </c>
      <c r="D627">
        <v>4</v>
      </c>
      <c r="E627">
        <v>0.16130900000000001</v>
      </c>
      <c r="F627">
        <v>92.2</v>
      </c>
      <c r="G627">
        <v>45.2</v>
      </c>
      <c r="H627">
        <v>0.49023861171366595</v>
      </c>
      <c r="I627">
        <v>97.787599999999998</v>
      </c>
      <c r="J627">
        <v>2.2124000000000001</v>
      </c>
      <c r="K627">
        <v>96.1905</v>
      </c>
      <c r="L627">
        <v>96</v>
      </c>
      <c r="M627">
        <v>100</v>
      </c>
      <c r="N627">
        <v>1929.6790900000001</v>
      </c>
      <c r="O627">
        <v>256.3</v>
      </c>
      <c r="P627">
        <v>1673.1</v>
      </c>
      <c r="Q627">
        <v>0.27909</v>
      </c>
      <c r="R627">
        <v>125.878169</v>
      </c>
      <c r="S627">
        <v>100</v>
      </c>
      <c r="T627">
        <v>0.95</v>
      </c>
      <c r="U627" t="s">
        <v>17</v>
      </c>
    </row>
    <row r="628" spans="1:21" hidden="1" x14ac:dyDescent="0.25">
      <c r="A628" t="s">
        <v>33</v>
      </c>
      <c r="B628">
        <v>500</v>
      </c>
      <c r="C628">
        <v>105</v>
      </c>
      <c r="D628">
        <v>4</v>
      </c>
      <c r="E628">
        <v>0.16073899999999999</v>
      </c>
      <c r="F628">
        <v>92.2</v>
      </c>
      <c r="G628">
        <v>45.2</v>
      </c>
      <c r="H628">
        <v>0.49023861171366595</v>
      </c>
      <c r="I628">
        <v>97.787599999999998</v>
      </c>
      <c r="J628">
        <v>2.2124000000000001</v>
      </c>
      <c r="K628">
        <v>96.1905</v>
      </c>
      <c r="L628">
        <v>96</v>
      </c>
      <c r="M628">
        <v>100</v>
      </c>
      <c r="N628">
        <v>1929.6790900000001</v>
      </c>
      <c r="O628">
        <v>256.3</v>
      </c>
      <c r="P628">
        <v>1673.1</v>
      </c>
      <c r="Q628">
        <v>0.27909</v>
      </c>
      <c r="R628">
        <v>125.878186</v>
      </c>
      <c r="S628">
        <v>100</v>
      </c>
      <c r="T628">
        <v>0.95</v>
      </c>
      <c r="U628" t="s">
        <v>17</v>
      </c>
    </row>
    <row r="629" spans="1:21" hidden="1" x14ac:dyDescent="0.25">
      <c r="A629" t="s">
        <v>33</v>
      </c>
      <c r="B629">
        <v>500</v>
      </c>
      <c r="C629">
        <v>105</v>
      </c>
      <c r="D629">
        <v>4</v>
      </c>
      <c r="E629">
        <v>0.16417699999999999</v>
      </c>
      <c r="F629">
        <v>92.2</v>
      </c>
      <c r="G629">
        <v>45</v>
      </c>
      <c r="H629">
        <v>0.48806941431670281</v>
      </c>
      <c r="I629">
        <v>97.777799999999999</v>
      </c>
      <c r="J629">
        <v>2.2222</v>
      </c>
      <c r="K629">
        <v>93.333299999999994</v>
      </c>
      <c r="L629">
        <v>93</v>
      </c>
      <c r="M629">
        <v>100</v>
      </c>
      <c r="N629">
        <v>1933.1757399999999</v>
      </c>
      <c r="O629">
        <v>256.3</v>
      </c>
      <c r="P629">
        <v>1676.6</v>
      </c>
      <c r="Q629">
        <v>0.27573999999999999</v>
      </c>
      <c r="R629">
        <v>126.01617</v>
      </c>
      <c r="S629">
        <v>100</v>
      </c>
      <c r="T629">
        <v>0.95</v>
      </c>
      <c r="U629" t="s">
        <v>17</v>
      </c>
    </row>
    <row r="630" spans="1:21" hidden="1" x14ac:dyDescent="0.25">
      <c r="A630" t="s">
        <v>33</v>
      </c>
      <c r="B630">
        <v>500</v>
      </c>
      <c r="C630">
        <v>105</v>
      </c>
      <c r="D630">
        <v>4</v>
      </c>
      <c r="E630">
        <v>0.16282099999999999</v>
      </c>
      <c r="F630">
        <v>92.2</v>
      </c>
      <c r="G630">
        <v>45</v>
      </c>
      <c r="H630">
        <v>0.48806941431670281</v>
      </c>
      <c r="I630">
        <v>97.777799999999999</v>
      </c>
      <c r="J630">
        <v>2.2222</v>
      </c>
      <c r="K630">
        <v>93.333299999999994</v>
      </c>
      <c r="L630">
        <v>93</v>
      </c>
      <c r="M630">
        <v>100</v>
      </c>
      <c r="N630">
        <v>1933.1757399999999</v>
      </c>
      <c r="O630">
        <v>256.3</v>
      </c>
      <c r="P630">
        <v>1676.6</v>
      </c>
      <c r="Q630">
        <v>0.27573999999999999</v>
      </c>
      <c r="R630">
        <v>126.01617</v>
      </c>
      <c r="S630">
        <v>100</v>
      </c>
      <c r="T630">
        <v>0.95</v>
      </c>
      <c r="U630" t="s">
        <v>17</v>
      </c>
    </row>
    <row r="631" spans="1:21" hidden="1" x14ac:dyDescent="0.25">
      <c r="A631" t="s">
        <v>33</v>
      </c>
      <c r="B631">
        <v>500</v>
      </c>
      <c r="C631">
        <v>105</v>
      </c>
      <c r="D631">
        <v>4</v>
      </c>
      <c r="E631">
        <v>0.15912499999999999</v>
      </c>
      <c r="F631">
        <v>92.2</v>
      </c>
      <c r="G631">
        <v>45</v>
      </c>
      <c r="H631">
        <v>0.48806941431670281</v>
      </c>
      <c r="I631">
        <v>97.777799999999999</v>
      </c>
      <c r="J631">
        <v>2.2222</v>
      </c>
      <c r="K631">
        <v>93.333299999999994</v>
      </c>
      <c r="L631">
        <v>93</v>
      </c>
      <c r="M631">
        <v>100</v>
      </c>
      <c r="N631">
        <v>1933.1757399999999</v>
      </c>
      <c r="O631">
        <v>256.3</v>
      </c>
      <c r="P631">
        <v>1676.6</v>
      </c>
      <c r="Q631">
        <v>0.27573999999999999</v>
      </c>
      <c r="R631">
        <v>125.987531</v>
      </c>
      <c r="S631">
        <v>100</v>
      </c>
      <c r="T631">
        <v>0.95</v>
      </c>
      <c r="U631" t="s">
        <v>17</v>
      </c>
    </row>
    <row r="632" spans="1:21" hidden="1" x14ac:dyDescent="0.25">
      <c r="A632" t="s">
        <v>33</v>
      </c>
      <c r="B632">
        <v>500</v>
      </c>
      <c r="C632">
        <v>105</v>
      </c>
      <c r="D632">
        <v>4</v>
      </c>
      <c r="E632">
        <v>0.16167599999999999</v>
      </c>
      <c r="F632">
        <v>92.2</v>
      </c>
      <c r="G632">
        <v>45</v>
      </c>
      <c r="H632">
        <v>0.48806941431670281</v>
      </c>
      <c r="I632">
        <v>97.777799999999999</v>
      </c>
      <c r="J632">
        <v>2.2222</v>
      </c>
      <c r="K632">
        <v>93.333299999999994</v>
      </c>
      <c r="L632">
        <v>93</v>
      </c>
      <c r="M632">
        <v>100</v>
      </c>
      <c r="N632">
        <v>1933.1757399999999</v>
      </c>
      <c r="O632">
        <v>256.3</v>
      </c>
      <c r="P632">
        <v>1676.6</v>
      </c>
      <c r="Q632">
        <v>0.27573999999999999</v>
      </c>
      <c r="R632">
        <v>126.016165</v>
      </c>
      <c r="S632">
        <v>100</v>
      </c>
      <c r="T632">
        <v>0.95</v>
      </c>
      <c r="U632" t="s">
        <v>17</v>
      </c>
    </row>
    <row r="633" spans="1:21" hidden="1" x14ac:dyDescent="0.25">
      <c r="A633" t="s">
        <v>33</v>
      </c>
      <c r="B633">
        <v>500</v>
      </c>
      <c r="C633">
        <v>105</v>
      </c>
      <c r="D633">
        <v>4</v>
      </c>
      <c r="E633">
        <v>0.161742</v>
      </c>
      <c r="F633">
        <v>92.2</v>
      </c>
      <c r="G633">
        <v>45</v>
      </c>
      <c r="H633">
        <v>0.48806941431670281</v>
      </c>
      <c r="I633">
        <v>97.777799999999999</v>
      </c>
      <c r="J633">
        <v>2.2222</v>
      </c>
      <c r="K633">
        <v>94.285700000000006</v>
      </c>
      <c r="L633">
        <v>94</v>
      </c>
      <c r="M633">
        <v>100</v>
      </c>
      <c r="N633">
        <v>1933.17659</v>
      </c>
      <c r="O633">
        <v>256.3</v>
      </c>
      <c r="P633">
        <v>1676.6</v>
      </c>
      <c r="Q633">
        <v>0.27659</v>
      </c>
      <c r="R633">
        <v>126.09846400000001</v>
      </c>
      <c r="S633">
        <v>100</v>
      </c>
      <c r="T633">
        <v>0.95</v>
      </c>
      <c r="U633" t="s">
        <v>17</v>
      </c>
    </row>
    <row r="634" spans="1:21" hidden="1" x14ac:dyDescent="0.25">
      <c r="A634" t="s">
        <v>33</v>
      </c>
      <c r="B634">
        <v>500</v>
      </c>
      <c r="C634">
        <v>105</v>
      </c>
      <c r="D634">
        <v>4</v>
      </c>
      <c r="E634">
        <v>0.16428400000000001</v>
      </c>
      <c r="F634">
        <v>92.2</v>
      </c>
      <c r="G634">
        <v>45</v>
      </c>
      <c r="H634">
        <v>0.48806941431670281</v>
      </c>
      <c r="I634">
        <v>97.777799999999999</v>
      </c>
      <c r="J634">
        <v>2.2222</v>
      </c>
      <c r="K634">
        <v>94.285700000000006</v>
      </c>
      <c r="L634">
        <v>94</v>
      </c>
      <c r="M634">
        <v>100</v>
      </c>
      <c r="N634">
        <v>1933.17659</v>
      </c>
      <c r="O634">
        <v>256.3</v>
      </c>
      <c r="P634">
        <v>1676.6</v>
      </c>
      <c r="Q634">
        <v>0.27659</v>
      </c>
      <c r="R634">
        <v>126.069829</v>
      </c>
      <c r="S634">
        <v>100</v>
      </c>
      <c r="T634">
        <v>0.95</v>
      </c>
      <c r="U634" t="s">
        <v>17</v>
      </c>
    </row>
    <row r="635" spans="1:21" hidden="1" x14ac:dyDescent="0.25">
      <c r="A635" t="s">
        <v>33</v>
      </c>
      <c r="B635">
        <v>500</v>
      </c>
      <c r="C635">
        <v>105</v>
      </c>
      <c r="D635">
        <v>4</v>
      </c>
      <c r="E635">
        <v>0.161996</v>
      </c>
      <c r="F635">
        <v>92.2</v>
      </c>
      <c r="G635">
        <v>45</v>
      </c>
      <c r="H635">
        <v>0.48806941431670281</v>
      </c>
      <c r="I635">
        <v>97.777799999999999</v>
      </c>
      <c r="J635">
        <v>2.2222</v>
      </c>
      <c r="K635">
        <v>94.285700000000006</v>
      </c>
      <c r="L635">
        <v>94</v>
      </c>
      <c r="M635">
        <v>100</v>
      </c>
      <c r="N635">
        <v>1933.17659</v>
      </c>
      <c r="O635">
        <v>256.3</v>
      </c>
      <c r="P635">
        <v>1676.6</v>
      </c>
      <c r="Q635">
        <v>0.27659</v>
      </c>
      <c r="R635">
        <v>126.09846899999999</v>
      </c>
      <c r="S635">
        <v>100</v>
      </c>
      <c r="T635">
        <v>0.95</v>
      </c>
      <c r="U635" t="s">
        <v>17</v>
      </c>
    </row>
    <row r="636" spans="1:21" hidden="1" x14ac:dyDescent="0.25">
      <c r="A636" t="s">
        <v>33</v>
      </c>
      <c r="B636">
        <v>500</v>
      </c>
      <c r="C636">
        <v>105</v>
      </c>
      <c r="D636">
        <v>4</v>
      </c>
      <c r="E636">
        <v>0.16319400000000001</v>
      </c>
      <c r="F636">
        <v>92.2</v>
      </c>
      <c r="G636">
        <v>45</v>
      </c>
      <c r="H636">
        <v>0.48806941431670281</v>
      </c>
      <c r="I636">
        <v>97.777799999999999</v>
      </c>
      <c r="J636">
        <v>2.2222</v>
      </c>
      <c r="K636">
        <v>94.285700000000006</v>
      </c>
      <c r="L636">
        <v>94</v>
      </c>
      <c r="M636">
        <v>100</v>
      </c>
      <c r="N636">
        <v>1933.17659</v>
      </c>
      <c r="O636">
        <v>256.3</v>
      </c>
      <c r="P636">
        <v>1676.6</v>
      </c>
      <c r="Q636">
        <v>0.27659</v>
      </c>
      <c r="R636">
        <v>126.09846899999999</v>
      </c>
      <c r="S636">
        <v>100</v>
      </c>
      <c r="T636">
        <v>0.95</v>
      </c>
      <c r="U636" t="s">
        <v>17</v>
      </c>
    </row>
    <row r="637" spans="1:21" hidden="1" x14ac:dyDescent="0.25">
      <c r="A637" t="s">
        <v>33</v>
      </c>
      <c r="B637">
        <v>500</v>
      </c>
      <c r="C637">
        <v>105</v>
      </c>
      <c r="D637">
        <v>4</v>
      </c>
      <c r="E637">
        <v>0.16006300000000001</v>
      </c>
      <c r="F637">
        <v>92.2</v>
      </c>
      <c r="G637">
        <v>45</v>
      </c>
      <c r="H637">
        <v>0.48806941431670281</v>
      </c>
      <c r="I637">
        <v>97.777799999999999</v>
      </c>
      <c r="J637">
        <v>2.2222</v>
      </c>
      <c r="K637">
        <v>94.285700000000006</v>
      </c>
      <c r="L637">
        <v>94</v>
      </c>
      <c r="M637">
        <v>100</v>
      </c>
      <c r="N637">
        <v>1933.17659</v>
      </c>
      <c r="O637">
        <v>256.3</v>
      </c>
      <c r="P637">
        <v>1676.6</v>
      </c>
      <c r="Q637">
        <v>0.27659</v>
      </c>
      <c r="R637">
        <v>126.069829</v>
      </c>
      <c r="S637">
        <v>100</v>
      </c>
      <c r="T637">
        <v>0.95</v>
      </c>
      <c r="U637" t="s">
        <v>17</v>
      </c>
    </row>
    <row r="638" spans="1:21" hidden="1" x14ac:dyDescent="0.25">
      <c r="A638" t="s">
        <v>33</v>
      </c>
      <c r="B638">
        <v>500</v>
      </c>
      <c r="C638">
        <v>105</v>
      </c>
      <c r="D638">
        <v>4</v>
      </c>
      <c r="E638">
        <v>0.16138</v>
      </c>
      <c r="F638">
        <v>92.2</v>
      </c>
      <c r="G638">
        <v>45</v>
      </c>
      <c r="H638">
        <v>0.48806941431670281</v>
      </c>
      <c r="I638">
        <v>97.777799999999999</v>
      </c>
      <c r="J638">
        <v>2.2222</v>
      </c>
      <c r="K638">
        <v>94.285700000000006</v>
      </c>
      <c r="L638">
        <v>94</v>
      </c>
      <c r="M638">
        <v>100</v>
      </c>
      <c r="N638">
        <v>1933.17659</v>
      </c>
      <c r="O638">
        <v>256.3</v>
      </c>
      <c r="P638">
        <v>1676.6</v>
      </c>
      <c r="Q638">
        <v>0.27659</v>
      </c>
      <c r="R638">
        <v>126.09846400000001</v>
      </c>
      <c r="S638">
        <v>100</v>
      </c>
      <c r="T638">
        <v>0.95</v>
      </c>
      <c r="U638" t="s">
        <v>17</v>
      </c>
    </row>
    <row r="639" spans="1:21" hidden="1" x14ac:dyDescent="0.25">
      <c r="A639" t="s">
        <v>33</v>
      </c>
      <c r="B639">
        <v>500</v>
      </c>
      <c r="C639">
        <v>105</v>
      </c>
      <c r="D639">
        <v>4</v>
      </c>
      <c r="E639">
        <v>0.16034499999999999</v>
      </c>
      <c r="F639">
        <v>92.2</v>
      </c>
      <c r="G639">
        <v>45</v>
      </c>
      <c r="H639">
        <v>0.48806941431670281</v>
      </c>
      <c r="I639">
        <v>97.777799999999999</v>
      </c>
      <c r="J639">
        <v>2.2222</v>
      </c>
      <c r="K639">
        <v>94.285700000000006</v>
      </c>
      <c r="L639">
        <v>94</v>
      </c>
      <c r="M639">
        <v>100</v>
      </c>
      <c r="N639">
        <v>1933.17659</v>
      </c>
      <c r="O639">
        <v>256.3</v>
      </c>
      <c r="P639">
        <v>1676.6</v>
      </c>
      <c r="Q639">
        <v>0.27659</v>
      </c>
      <c r="R639">
        <v>126.09846400000001</v>
      </c>
      <c r="S639">
        <v>100</v>
      </c>
      <c r="T639">
        <v>0.95</v>
      </c>
      <c r="U639" t="s">
        <v>17</v>
      </c>
    </row>
    <row r="640" spans="1:21" hidden="1" x14ac:dyDescent="0.25">
      <c r="A640" t="s">
        <v>33</v>
      </c>
      <c r="B640">
        <v>500</v>
      </c>
      <c r="C640">
        <v>105</v>
      </c>
      <c r="D640">
        <v>4</v>
      </c>
      <c r="E640">
        <v>0.16161400000000001</v>
      </c>
      <c r="F640">
        <v>92.2</v>
      </c>
      <c r="G640">
        <v>45</v>
      </c>
      <c r="H640">
        <v>0.48806941431670281</v>
      </c>
      <c r="I640">
        <v>97.777799999999999</v>
      </c>
      <c r="J640">
        <v>2.2222</v>
      </c>
      <c r="K640">
        <v>94.285700000000006</v>
      </c>
      <c r="L640">
        <v>94</v>
      </c>
      <c r="M640">
        <v>100</v>
      </c>
      <c r="N640">
        <v>1933.17659</v>
      </c>
      <c r="O640">
        <v>256.3</v>
      </c>
      <c r="P640">
        <v>1676.6</v>
      </c>
      <c r="Q640">
        <v>0.27659</v>
      </c>
      <c r="R640">
        <v>126.069829</v>
      </c>
      <c r="S640">
        <v>100</v>
      </c>
      <c r="T640">
        <v>0.95</v>
      </c>
      <c r="U640" t="s">
        <v>17</v>
      </c>
    </row>
    <row r="641" spans="1:21" hidden="1" x14ac:dyDescent="0.25">
      <c r="A641" t="s">
        <v>33</v>
      </c>
      <c r="B641">
        <v>500</v>
      </c>
      <c r="C641">
        <v>105</v>
      </c>
      <c r="D641">
        <v>4</v>
      </c>
      <c r="E641">
        <v>0.16303599999999999</v>
      </c>
      <c r="F641">
        <v>92.2</v>
      </c>
      <c r="G641">
        <v>45</v>
      </c>
      <c r="H641">
        <v>0.48806941431670281</v>
      </c>
      <c r="I641">
        <v>97.777799999999999</v>
      </c>
      <c r="J641">
        <v>2.2222</v>
      </c>
      <c r="K641">
        <v>94.285700000000006</v>
      </c>
      <c r="L641">
        <v>94</v>
      </c>
      <c r="M641">
        <v>100</v>
      </c>
      <c r="N641">
        <v>1933.17659</v>
      </c>
      <c r="O641">
        <v>256.3</v>
      </c>
      <c r="P641">
        <v>1676.6</v>
      </c>
      <c r="Q641">
        <v>0.27659</v>
      </c>
      <c r="R641">
        <v>126.069829</v>
      </c>
      <c r="S641">
        <v>100</v>
      </c>
      <c r="T641">
        <v>0.95</v>
      </c>
      <c r="U641" t="s">
        <v>17</v>
      </c>
    </row>
    <row r="642" spans="1:21" hidden="1" x14ac:dyDescent="0.25">
      <c r="A642" t="s">
        <v>33</v>
      </c>
      <c r="B642">
        <v>500</v>
      </c>
      <c r="C642">
        <v>105</v>
      </c>
      <c r="D642">
        <v>4</v>
      </c>
      <c r="E642">
        <v>0.161411</v>
      </c>
      <c r="F642">
        <v>92.2</v>
      </c>
      <c r="G642">
        <v>45</v>
      </c>
      <c r="H642">
        <v>0.48806941431670281</v>
      </c>
      <c r="I642">
        <v>97.777799999999999</v>
      </c>
      <c r="J642">
        <v>2.2222</v>
      </c>
      <c r="K642">
        <v>94.285700000000006</v>
      </c>
      <c r="L642">
        <v>94</v>
      </c>
      <c r="M642">
        <v>100</v>
      </c>
      <c r="N642">
        <v>1933.17659</v>
      </c>
      <c r="O642">
        <v>256.3</v>
      </c>
      <c r="P642">
        <v>1676.6</v>
      </c>
      <c r="Q642">
        <v>0.27659</v>
      </c>
      <c r="R642">
        <v>126.09846899999999</v>
      </c>
      <c r="S642">
        <v>100</v>
      </c>
      <c r="T642">
        <v>0.95</v>
      </c>
      <c r="U642" t="s">
        <v>17</v>
      </c>
    </row>
    <row r="643" spans="1:21" hidden="1" x14ac:dyDescent="0.25">
      <c r="A643" t="s">
        <v>33</v>
      </c>
      <c r="B643">
        <v>500</v>
      </c>
      <c r="C643">
        <v>105</v>
      </c>
      <c r="D643">
        <v>4</v>
      </c>
      <c r="E643">
        <v>0.159329</v>
      </c>
      <c r="F643">
        <v>92.2</v>
      </c>
      <c r="G643">
        <v>45</v>
      </c>
      <c r="H643">
        <v>0.48806941431670281</v>
      </c>
      <c r="I643">
        <v>97.777799999999999</v>
      </c>
      <c r="J643">
        <v>2.2222</v>
      </c>
      <c r="K643">
        <v>94.285700000000006</v>
      </c>
      <c r="L643">
        <v>94</v>
      </c>
      <c r="M643">
        <v>100</v>
      </c>
      <c r="N643">
        <v>1933.17659</v>
      </c>
      <c r="O643">
        <v>256.3</v>
      </c>
      <c r="P643">
        <v>1676.6</v>
      </c>
      <c r="Q643">
        <v>0.27659</v>
      </c>
      <c r="R643">
        <v>126.069829</v>
      </c>
      <c r="S643">
        <v>100</v>
      </c>
      <c r="T643">
        <v>0.95</v>
      </c>
      <c r="U643" t="s">
        <v>17</v>
      </c>
    </row>
    <row r="644" spans="1:21" hidden="1" x14ac:dyDescent="0.25">
      <c r="A644" t="s">
        <v>33</v>
      </c>
      <c r="B644">
        <v>500</v>
      </c>
      <c r="C644">
        <v>105</v>
      </c>
      <c r="D644">
        <v>4</v>
      </c>
      <c r="E644">
        <v>0.161328</v>
      </c>
      <c r="F644">
        <v>92.2</v>
      </c>
      <c r="G644">
        <v>45</v>
      </c>
      <c r="H644">
        <v>0.48806941431670281</v>
      </c>
      <c r="I644">
        <v>97.777799999999999</v>
      </c>
      <c r="J644">
        <v>2.2222</v>
      </c>
      <c r="K644">
        <v>94.285700000000006</v>
      </c>
      <c r="L644">
        <v>94</v>
      </c>
      <c r="M644">
        <v>100</v>
      </c>
      <c r="N644">
        <v>1933.17659</v>
      </c>
      <c r="O644">
        <v>256.3</v>
      </c>
      <c r="P644">
        <v>1676.6</v>
      </c>
      <c r="Q644">
        <v>0.27659</v>
      </c>
      <c r="R644">
        <v>126.069829</v>
      </c>
      <c r="S644">
        <v>100</v>
      </c>
      <c r="T644">
        <v>0.95</v>
      </c>
      <c r="U644" t="s">
        <v>17</v>
      </c>
    </row>
    <row r="645" spans="1:21" hidden="1" x14ac:dyDescent="0.25">
      <c r="A645" t="s">
        <v>33</v>
      </c>
      <c r="B645">
        <v>500</v>
      </c>
      <c r="C645">
        <v>105</v>
      </c>
      <c r="D645">
        <v>4</v>
      </c>
      <c r="E645">
        <v>0.16081500000000001</v>
      </c>
      <c r="F645">
        <v>92.2</v>
      </c>
      <c r="G645">
        <v>45</v>
      </c>
      <c r="H645">
        <v>0.48806941431670281</v>
      </c>
      <c r="I645">
        <v>97.777799999999999</v>
      </c>
      <c r="J645">
        <v>2.2222</v>
      </c>
      <c r="K645">
        <v>94.285700000000006</v>
      </c>
      <c r="L645">
        <v>94</v>
      </c>
      <c r="M645">
        <v>100</v>
      </c>
      <c r="N645">
        <v>1933.17659</v>
      </c>
      <c r="O645">
        <v>256.3</v>
      </c>
      <c r="P645">
        <v>1676.6</v>
      </c>
      <c r="Q645">
        <v>0.27659</v>
      </c>
      <c r="R645">
        <v>126.09846899999999</v>
      </c>
      <c r="S645">
        <v>100</v>
      </c>
      <c r="T645">
        <v>0.95</v>
      </c>
      <c r="U645" t="s">
        <v>17</v>
      </c>
    </row>
    <row r="646" spans="1:21" hidden="1" x14ac:dyDescent="0.25">
      <c r="A646" t="s">
        <v>33</v>
      </c>
      <c r="B646">
        <v>500</v>
      </c>
      <c r="C646">
        <v>105</v>
      </c>
      <c r="D646">
        <v>4</v>
      </c>
      <c r="E646">
        <v>0.16173000000000001</v>
      </c>
      <c r="F646">
        <v>92.2</v>
      </c>
      <c r="G646">
        <v>45</v>
      </c>
      <c r="H646">
        <v>0.48806941431670281</v>
      </c>
      <c r="I646">
        <v>97.777799999999999</v>
      </c>
      <c r="J646">
        <v>2.2222</v>
      </c>
      <c r="K646">
        <v>94.285700000000006</v>
      </c>
      <c r="L646">
        <v>94</v>
      </c>
      <c r="M646">
        <v>100</v>
      </c>
      <c r="N646">
        <v>1933.17659</v>
      </c>
      <c r="O646">
        <v>256.3</v>
      </c>
      <c r="P646">
        <v>1676.6</v>
      </c>
      <c r="Q646">
        <v>0.27659</v>
      </c>
      <c r="R646">
        <v>126.09846899999999</v>
      </c>
      <c r="S646">
        <v>100</v>
      </c>
      <c r="T646">
        <v>0.95</v>
      </c>
      <c r="U646" t="s">
        <v>17</v>
      </c>
    </row>
    <row r="647" spans="1:21" hidden="1" x14ac:dyDescent="0.25">
      <c r="A647" t="s">
        <v>33</v>
      </c>
      <c r="B647">
        <v>500</v>
      </c>
      <c r="C647">
        <v>105</v>
      </c>
      <c r="D647">
        <v>4</v>
      </c>
      <c r="E647">
        <v>0.16064800000000001</v>
      </c>
      <c r="F647">
        <v>92.2</v>
      </c>
      <c r="G647">
        <v>45</v>
      </c>
      <c r="H647">
        <v>0.48806941431670281</v>
      </c>
      <c r="I647">
        <v>97.777799999999999</v>
      </c>
      <c r="J647">
        <v>2.2222</v>
      </c>
      <c r="K647">
        <v>94.285700000000006</v>
      </c>
      <c r="L647">
        <v>94</v>
      </c>
      <c r="M647">
        <v>100</v>
      </c>
      <c r="N647">
        <v>1933.17659</v>
      </c>
      <c r="O647">
        <v>256.3</v>
      </c>
      <c r="P647">
        <v>1676.6</v>
      </c>
      <c r="Q647">
        <v>0.27659</v>
      </c>
      <c r="R647">
        <v>126.069829</v>
      </c>
      <c r="S647">
        <v>100</v>
      </c>
      <c r="T647">
        <v>0.95</v>
      </c>
      <c r="U647" t="s">
        <v>17</v>
      </c>
    </row>
    <row r="648" spans="1:21" hidden="1" x14ac:dyDescent="0.25">
      <c r="A648" t="s">
        <v>33</v>
      </c>
      <c r="B648">
        <v>500</v>
      </c>
      <c r="C648">
        <v>105</v>
      </c>
      <c r="D648">
        <v>4</v>
      </c>
      <c r="E648">
        <v>0.161193</v>
      </c>
      <c r="F648">
        <v>92.2</v>
      </c>
      <c r="G648">
        <v>45</v>
      </c>
      <c r="H648">
        <v>0.48806941431670281</v>
      </c>
      <c r="I648">
        <v>97.777799999999999</v>
      </c>
      <c r="J648">
        <v>2.2222</v>
      </c>
      <c r="K648">
        <v>94.285700000000006</v>
      </c>
      <c r="L648">
        <v>94</v>
      </c>
      <c r="M648">
        <v>100</v>
      </c>
      <c r="N648">
        <v>1933.17659</v>
      </c>
      <c r="O648">
        <v>256.3</v>
      </c>
      <c r="P648">
        <v>1676.6</v>
      </c>
      <c r="Q648">
        <v>0.27659</v>
      </c>
      <c r="R648">
        <v>126.041231</v>
      </c>
      <c r="S648">
        <v>100</v>
      </c>
      <c r="T648">
        <v>0.95</v>
      </c>
      <c r="U648" t="s">
        <v>17</v>
      </c>
    </row>
    <row r="649" spans="1:21" hidden="1" x14ac:dyDescent="0.25">
      <c r="A649" t="s">
        <v>33</v>
      </c>
      <c r="B649">
        <v>500</v>
      </c>
      <c r="C649">
        <v>105</v>
      </c>
      <c r="D649">
        <v>4</v>
      </c>
      <c r="E649">
        <v>0.16312299999999999</v>
      </c>
      <c r="F649">
        <v>92.2</v>
      </c>
      <c r="G649">
        <v>45</v>
      </c>
      <c r="H649">
        <v>0.48806941431670281</v>
      </c>
      <c r="I649">
        <v>97.777799999999999</v>
      </c>
      <c r="J649">
        <v>2.2222</v>
      </c>
      <c r="K649">
        <v>94.285700000000006</v>
      </c>
      <c r="L649">
        <v>94</v>
      </c>
      <c r="M649">
        <v>100</v>
      </c>
      <c r="N649">
        <v>1933.17659</v>
      </c>
      <c r="O649">
        <v>256.3</v>
      </c>
      <c r="P649">
        <v>1676.6</v>
      </c>
      <c r="Q649">
        <v>0.27659</v>
      </c>
      <c r="R649">
        <v>126.069829</v>
      </c>
      <c r="S649">
        <v>100</v>
      </c>
      <c r="T649">
        <v>0.95</v>
      </c>
      <c r="U649" t="s">
        <v>17</v>
      </c>
    </row>
    <row r="650" spans="1:21" hidden="1" x14ac:dyDescent="0.25">
      <c r="A650" t="s">
        <v>33</v>
      </c>
      <c r="B650">
        <v>500</v>
      </c>
      <c r="C650">
        <v>105</v>
      </c>
      <c r="D650">
        <v>4</v>
      </c>
      <c r="E650">
        <v>0.16267799999999999</v>
      </c>
      <c r="F650">
        <v>92.2</v>
      </c>
      <c r="G650">
        <v>45</v>
      </c>
      <c r="H650">
        <v>0.48806941431670281</v>
      </c>
      <c r="I650">
        <v>97.777799999999999</v>
      </c>
      <c r="J650">
        <v>2.2222</v>
      </c>
      <c r="K650">
        <v>94.285700000000006</v>
      </c>
      <c r="L650">
        <v>94</v>
      </c>
      <c r="M650">
        <v>100</v>
      </c>
      <c r="N650">
        <v>1933.17659</v>
      </c>
      <c r="O650">
        <v>256.3</v>
      </c>
      <c r="P650">
        <v>1676.6</v>
      </c>
      <c r="Q650">
        <v>0.27659</v>
      </c>
      <c r="R650">
        <v>126.09846899999999</v>
      </c>
      <c r="S650">
        <v>100</v>
      </c>
      <c r="T650">
        <v>0.95</v>
      </c>
      <c r="U650" t="s">
        <v>17</v>
      </c>
    </row>
    <row r="651" spans="1:21" hidden="1" x14ac:dyDescent="0.25">
      <c r="A651" t="s">
        <v>33</v>
      </c>
      <c r="B651">
        <v>500</v>
      </c>
      <c r="C651">
        <v>105</v>
      </c>
      <c r="D651">
        <v>4</v>
      </c>
      <c r="E651">
        <v>0.160415</v>
      </c>
      <c r="F651">
        <v>92.2</v>
      </c>
      <c r="G651">
        <v>45</v>
      </c>
      <c r="H651">
        <v>0.48806941431670281</v>
      </c>
      <c r="I651">
        <v>97.777799999999999</v>
      </c>
      <c r="J651">
        <v>2.2222</v>
      </c>
      <c r="K651">
        <v>94.285700000000006</v>
      </c>
      <c r="L651">
        <v>94</v>
      </c>
      <c r="M651">
        <v>100</v>
      </c>
      <c r="N651">
        <v>1933.17659</v>
      </c>
      <c r="O651">
        <v>256.3</v>
      </c>
      <c r="P651">
        <v>1676.6</v>
      </c>
      <c r="Q651">
        <v>0.27659</v>
      </c>
      <c r="R651">
        <v>126.09846899999999</v>
      </c>
      <c r="S651">
        <v>100</v>
      </c>
      <c r="T651">
        <v>0.95</v>
      </c>
      <c r="U651" t="s">
        <v>17</v>
      </c>
    </row>
    <row r="652" spans="1:21" hidden="1" x14ac:dyDescent="0.25">
      <c r="A652" t="s">
        <v>33</v>
      </c>
      <c r="B652">
        <v>500</v>
      </c>
      <c r="C652">
        <v>105</v>
      </c>
      <c r="D652">
        <v>4</v>
      </c>
      <c r="E652">
        <v>0.162384</v>
      </c>
      <c r="F652">
        <v>92.2</v>
      </c>
      <c r="G652">
        <v>45</v>
      </c>
      <c r="H652">
        <v>0.48806941431670281</v>
      </c>
      <c r="I652">
        <v>97.777799999999999</v>
      </c>
      <c r="J652">
        <v>2.2222</v>
      </c>
      <c r="K652">
        <v>94.285700000000006</v>
      </c>
      <c r="L652">
        <v>94</v>
      </c>
      <c r="M652">
        <v>100</v>
      </c>
      <c r="N652">
        <v>1933.17659</v>
      </c>
      <c r="O652">
        <v>256.3</v>
      </c>
      <c r="P652">
        <v>1676.6</v>
      </c>
      <c r="Q652">
        <v>0.27659</v>
      </c>
      <c r="R652">
        <v>126.09846400000001</v>
      </c>
      <c r="S652">
        <v>100</v>
      </c>
      <c r="T652">
        <v>0.95</v>
      </c>
      <c r="U652" t="s">
        <v>17</v>
      </c>
    </row>
    <row r="653" spans="1:21" hidden="1" x14ac:dyDescent="0.25">
      <c r="A653" t="s">
        <v>33</v>
      </c>
      <c r="B653">
        <v>500</v>
      </c>
      <c r="C653">
        <v>105</v>
      </c>
      <c r="D653">
        <v>4</v>
      </c>
      <c r="E653">
        <v>0.161548</v>
      </c>
      <c r="F653">
        <v>92.2</v>
      </c>
      <c r="G653">
        <v>45</v>
      </c>
      <c r="H653">
        <v>0.48806941431670281</v>
      </c>
      <c r="I653">
        <v>97.777799999999999</v>
      </c>
      <c r="J653">
        <v>2.2222</v>
      </c>
      <c r="K653">
        <v>94.285700000000006</v>
      </c>
      <c r="L653">
        <v>94</v>
      </c>
      <c r="M653">
        <v>100</v>
      </c>
      <c r="N653">
        <v>1933.17659</v>
      </c>
      <c r="O653">
        <v>256.3</v>
      </c>
      <c r="P653">
        <v>1676.6</v>
      </c>
      <c r="Q653">
        <v>0.27659</v>
      </c>
      <c r="R653">
        <v>126.09846899999999</v>
      </c>
      <c r="S653">
        <v>100</v>
      </c>
      <c r="T653">
        <v>0.95</v>
      </c>
      <c r="U653" t="s">
        <v>17</v>
      </c>
    </row>
    <row r="654" spans="1:21" hidden="1" x14ac:dyDescent="0.25">
      <c r="A654" t="s">
        <v>33</v>
      </c>
      <c r="B654">
        <v>500</v>
      </c>
      <c r="C654">
        <v>105</v>
      </c>
      <c r="D654">
        <v>4</v>
      </c>
      <c r="E654">
        <v>0.15978800000000001</v>
      </c>
      <c r="F654">
        <v>92.2</v>
      </c>
      <c r="G654">
        <v>45</v>
      </c>
      <c r="H654">
        <v>0.48806941431670281</v>
      </c>
      <c r="I654">
        <v>97.777799999999999</v>
      </c>
      <c r="J654">
        <v>2.2222</v>
      </c>
      <c r="K654">
        <v>94.285700000000006</v>
      </c>
      <c r="L654">
        <v>94</v>
      </c>
      <c r="M654">
        <v>100</v>
      </c>
      <c r="N654">
        <v>1933.17659</v>
      </c>
      <c r="O654">
        <v>256.3</v>
      </c>
      <c r="P654">
        <v>1676.6</v>
      </c>
      <c r="Q654">
        <v>0.27659</v>
      </c>
      <c r="R654">
        <v>126.069829</v>
      </c>
      <c r="S654">
        <v>100</v>
      </c>
      <c r="T654">
        <v>0.95</v>
      </c>
      <c r="U654" t="s">
        <v>17</v>
      </c>
    </row>
    <row r="655" spans="1:21" hidden="1" x14ac:dyDescent="0.25">
      <c r="A655" t="s">
        <v>33</v>
      </c>
      <c r="B655">
        <v>500</v>
      </c>
      <c r="C655">
        <v>105</v>
      </c>
      <c r="D655">
        <v>4</v>
      </c>
      <c r="E655">
        <v>0.161361</v>
      </c>
      <c r="F655">
        <v>92.2</v>
      </c>
      <c r="G655">
        <v>45</v>
      </c>
      <c r="H655">
        <v>0.48806941431670281</v>
      </c>
      <c r="I655">
        <v>97.777799999999999</v>
      </c>
      <c r="J655">
        <v>2.2222</v>
      </c>
      <c r="K655">
        <v>94.285700000000006</v>
      </c>
      <c r="L655">
        <v>94</v>
      </c>
      <c r="M655">
        <v>100</v>
      </c>
      <c r="N655">
        <v>1933.17659</v>
      </c>
      <c r="O655">
        <v>256.3</v>
      </c>
      <c r="P655">
        <v>1676.6</v>
      </c>
      <c r="Q655">
        <v>0.27659</v>
      </c>
      <c r="R655">
        <v>126.069829</v>
      </c>
      <c r="S655">
        <v>100</v>
      </c>
      <c r="T655">
        <v>0.95</v>
      </c>
      <c r="U655" t="s">
        <v>17</v>
      </c>
    </row>
    <row r="656" spans="1:21" hidden="1" x14ac:dyDescent="0.25">
      <c r="A656" t="s">
        <v>33</v>
      </c>
      <c r="B656">
        <v>500</v>
      </c>
      <c r="C656">
        <v>105</v>
      </c>
      <c r="D656">
        <v>4</v>
      </c>
      <c r="E656">
        <v>0.16103400000000001</v>
      </c>
      <c r="F656">
        <v>92.2</v>
      </c>
      <c r="G656">
        <v>45</v>
      </c>
      <c r="H656">
        <v>0.48806941431670281</v>
      </c>
      <c r="I656">
        <v>97.777799999999999</v>
      </c>
      <c r="J656">
        <v>2.2222</v>
      </c>
      <c r="K656">
        <v>94.285700000000006</v>
      </c>
      <c r="L656">
        <v>94</v>
      </c>
      <c r="M656">
        <v>100</v>
      </c>
      <c r="N656">
        <v>1933.17659</v>
      </c>
      <c r="O656">
        <v>256.3</v>
      </c>
      <c r="P656">
        <v>1676.6</v>
      </c>
      <c r="Q656">
        <v>0.27659</v>
      </c>
      <c r="R656">
        <v>126.09846899999999</v>
      </c>
      <c r="S656">
        <v>100</v>
      </c>
      <c r="T656">
        <v>0.95</v>
      </c>
      <c r="U656" t="s">
        <v>17</v>
      </c>
    </row>
    <row r="657" spans="1:21" hidden="1" x14ac:dyDescent="0.25">
      <c r="A657" t="s">
        <v>33</v>
      </c>
      <c r="B657">
        <v>500</v>
      </c>
      <c r="C657">
        <v>105</v>
      </c>
      <c r="D657">
        <v>4</v>
      </c>
      <c r="E657">
        <v>0.16203100000000001</v>
      </c>
      <c r="F657">
        <v>92.2</v>
      </c>
      <c r="G657">
        <v>45</v>
      </c>
      <c r="H657">
        <v>0.48806941431670281</v>
      </c>
      <c r="I657">
        <v>97.777799999999999</v>
      </c>
      <c r="J657">
        <v>2.2222</v>
      </c>
      <c r="K657">
        <v>94.285700000000006</v>
      </c>
      <c r="L657">
        <v>94</v>
      </c>
      <c r="M657">
        <v>100</v>
      </c>
      <c r="N657">
        <v>1933.17659</v>
      </c>
      <c r="O657">
        <v>256.3</v>
      </c>
      <c r="P657">
        <v>1676.6</v>
      </c>
      <c r="Q657">
        <v>0.27659</v>
      </c>
      <c r="R657">
        <v>126.09846400000001</v>
      </c>
      <c r="S657">
        <v>100</v>
      </c>
      <c r="T657">
        <v>0.95</v>
      </c>
      <c r="U657" t="s">
        <v>17</v>
      </c>
    </row>
    <row r="658" spans="1:21" hidden="1" x14ac:dyDescent="0.25">
      <c r="A658" t="s">
        <v>33</v>
      </c>
      <c r="B658">
        <v>500</v>
      </c>
      <c r="C658">
        <v>105</v>
      </c>
      <c r="D658">
        <v>4</v>
      </c>
      <c r="E658">
        <v>0.16028500000000001</v>
      </c>
      <c r="F658">
        <v>92.2</v>
      </c>
      <c r="G658">
        <v>45</v>
      </c>
      <c r="H658">
        <v>0.48806941431670281</v>
      </c>
      <c r="I658">
        <v>97.777799999999999</v>
      </c>
      <c r="J658">
        <v>2.2222</v>
      </c>
      <c r="K658">
        <v>94.285700000000006</v>
      </c>
      <c r="L658">
        <v>94</v>
      </c>
      <c r="M658">
        <v>100</v>
      </c>
      <c r="N658">
        <v>1933.17659</v>
      </c>
      <c r="O658">
        <v>256.3</v>
      </c>
      <c r="P658">
        <v>1676.6</v>
      </c>
      <c r="Q658">
        <v>0.27659</v>
      </c>
      <c r="R658">
        <v>126.09846899999999</v>
      </c>
      <c r="S658">
        <v>100</v>
      </c>
      <c r="T658">
        <v>0.95</v>
      </c>
      <c r="U658" t="s">
        <v>17</v>
      </c>
    </row>
    <row r="659" spans="1:21" hidden="1" x14ac:dyDescent="0.25">
      <c r="A659" t="s">
        <v>33</v>
      </c>
      <c r="B659">
        <v>500</v>
      </c>
      <c r="C659">
        <v>105</v>
      </c>
      <c r="D659">
        <v>4</v>
      </c>
      <c r="E659">
        <v>0.16207199999999999</v>
      </c>
      <c r="F659">
        <v>92.2</v>
      </c>
      <c r="G659">
        <v>45</v>
      </c>
      <c r="H659">
        <v>0.48806941431670281</v>
      </c>
      <c r="I659">
        <v>97.777799999999999</v>
      </c>
      <c r="J659">
        <v>2.2222</v>
      </c>
      <c r="K659">
        <v>94.285700000000006</v>
      </c>
      <c r="L659">
        <v>94</v>
      </c>
      <c r="M659">
        <v>100</v>
      </c>
      <c r="N659">
        <v>1933.17659</v>
      </c>
      <c r="O659">
        <v>256.3</v>
      </c>
      <c r="P659">
        <v>1676.6</v>
      </c>
      <c r="Q659">
        <v>0.27659</v>
      </c>
      <c r="R659">
        <v>126.069829</v>
      </c>
      <c r="S659">
        <v>100</v>
      </c>
      <c r="T659">
        <v>0.95</v>
      </c>
      <c r="U659" t="s">
        <v>17</v>
      </c>
    </row>
    <row r="660" spans="1:21" hidden="1" x14ac:dyDescent="0.25">
      <c r="A660" t="s">
        <v>33</v>
      </c>
      <c r="B660">
        <v>500</v>
      </c>
      <c r="C660">
        <v>105</v>
      </c>
      <c r="D660">
        <v>4</v>
      </c>
      <c r="E660">
        <v>0.16142200000000001</v>
      </c>
      <c r="F660">
        <v>92.2</v>
      </c>
      <c r="G660">
        <v>45</v>
      </c>
      <c r="H660">
        <v>0.48806941431670281</v>
      </c>
      <c r="I660">
        <v>97.777799999999999</v>
      </c>
      <c r="J660">
        <v>2.2222</v>
      </c>
      <c r="K660">
        <v>94.285700000000006</v>
      </c>
      <c r="L660">
        <v>94</v>
      </c>
      <c r="M660">
        <v>100</v>
      </c>
      <c r="N660">
        <v>1933.17659</v>
      </c>
      <c r="O660">
        <v>256.3</v>
      </c>
      <c r="P660">
        <v>1676.6</v>
      </c>
      <c r="Q660">
        <v>0.27659</v>
      </c>
      <c r="R660">
        <v>126.069829</v>
      </c>
      <c r="S660">
        <v>100</v>
      </c>
      <c r="T660">
        <v>0.95</v>
      </c>
      <c r="U660" t="s">
        <v>17</v>
      </c>
    </row>
    <row r="661" spans="1:21" hidden="1" x14ac:dyDescent="0.25">
      <c r="A661" t="s">
        <v>33</v>
      </c>
      <c r="B661">
        <v>500</v>
      </c>
      <c r="C661">
        <v>105</v>
      </c>
      <c r="D661">
        <v>4</v>
      </c>
      <c r="E661">
        <v>0.16134000000000001</v>
      </c>
      <c r="F661">
        <v>92.2</v>
      </c>
      <c r="G661">
        <v>45</v>
      </c>
      <c r="H661">
        <v>0.48806941431670281</v>
      </c>
      <c r="I661">
        <v>97.777799999999999</v>
      </c>
      <c r="J661">
        <v>2.2222</v>
      </c>
      <c r="K661">
        <v>94.285700000000006</v>
      </c>
      <c r="L661">
        <v>94</v>
      </c>
      <c r="M661">
        <v>100</v>
      </c>
      <c r="N661">
        <v>1933.17659</v>
      </c>
      <c r="O661">
        <v>256.3</v>
      </c>
      <c r="P661">
        <v>1676.6</v>
      </c>
      <c r="Q661">
        <v>0.27659</v>
      </c>
      <c r="R661">
        <v>126.069829</v>
      </c>
      <c r="S661">
        <v>100</v>
      </c>
      <c r="T661">
        <v>0.95</v>
      </c>
      <c r="U661" t="s">
        <v>17</v>
      </c>
    </row>
    <row r="662" spans="1:21" hidden="1" x14ac:dyDescent="0.25">
      <c r="A662" t="s">
        <v>33</v>
      </c>
      <c r="B662">
        <v>500</v>
      </c>
      <c r="C662">
        <v>105</v>
      </c>
      <c r="D662">
        <v>4</v>
      </c>
      <c r="E662">
        <v>0.16179199999999999</v>
      </c>
      <c r="F662">
        <v>92.2</v>
      </c>
      <c r="G662">
        <v>45</v>
      </c>
      <c r="H662">
        <v>0.48806941431670281</v>
      </c>
      <c r="I662">
        <v>97.777799999999999</v>
      </c>
      <c r="J662">
        <v>2.2222</v>
      </c>
      <c r="K662">
        <v>94.285700000000006</v>
      </c>
      <c r="L662">
        <v>94</v>
      </c>
      <c r="M662">
        <v>100</v>
      </c>
      <c r="N662">
        <v>1933.17659</v>
      </c>
      <c r="O662">
        <v>256.3</v>
      </c>
      <c r="P662">
        <v>1676.6</v>
      </c>
      <c r="Q662">
        <v>0.27659</v>
      </c>
      <c r="R662">
        <v>126.09846400000001</v>
      </c>
      <c r="S662">
        <v>100</v>
      </c>
      <c r="T662">
        <v>0.95</v>
      </c>
      <c r="U662" t="s">
        <v>17</v>
      </c>
    </row>
    <row r="663" spans="1:21" hidden="1" x14ac:dyDescent="0.25">
      <c r="A663" t="s">
        <v>33</v>
      </c>
      <c r="B663">
        <v>500</v>
      </c>
      <c r="C663">
        <v>105</v>
      </c>
      <c r="D663">
        <v>4</v>
      </c>
      <c r="E663">
        <v>0.162439</v>
      </c>
      <c r="F663">
        <v>92.2</v>
      </c>
      <c r="G663">
        <v>45</v>
      </c>
      <c r="H663">
        <v>0.48806941431670281</v>
      </c>
      <c r="I663">
        <v>97.777799999999999</v>
      </c>
      <c r="J663">
        <v>2.2222</v>
      </c>
      <c r="K663">
        <v>94.285700000000006</v>
      </c>
      <c r="L663">
        <v>94</v>
      </c>
      <c r="M663">
        <v>100</v>
      </c>
      <c r="N663">
        <v>1933.17659</v>
      </c>
      <c r="O663">
        <v>256.3</v>
      </c>
      <c r="P663">
        <v>1676.6</v>
      </c>
      <c r="Q663">
        <v>0.27659</v>
      </c>
      <c r="R663">
        <v>126.069829</v>
      </c>
      <c r="S663">
        <v>100</v>
      </c>
      <c r="T663">
        <v>0.95</v>
      </c>
      <c r="U663" t="s">
        <v>17</v>
      </c>
    </row>
    <row r="664" spans="1:21" hidden="1" x14ac:dyDescent="0.25">
      <c r="A664" t="s">
        <v>33</v>
      </c>
      <c r="B664">
        <v>500</v>
      </c>
      <c r="C664">
        <v>105</v>
      </c>
      <c r="D664">
        <v>4</v>
      </c>
      <c r="E664">
        <v>0.16086300000000001</v>
      </c>
      <c r="F664">
        <v>92.2</v>
      </c>
      <c r="G664">
        <v>45</v>
      </c>
      <c r="H664">
        <v>0.48806941431670281</v>
      </c>
      <c r="I664">
        <v>97.777799999999999</v>
      </c>
      <c r="J664">
        <v>2.2222</v>
      </c>
      <c r="K664">
        <v>94.285700000000006</v>
      </c>
      <c r="L664">
        <v>94</v>
      </c>
      <c r="M664">
        <v>100</v>
      </c>
      <c r="N664">
        <v>1933.17659</v>
      </c>
      <c r="O664">
        <v>256.3</v>
      </c>
      <c r="P664">
        <v>1676.6</v>
      </c>
      <c r="Q664">
        <v>0.27659</v>
      </c>
      <c r="R664">
        <v>126.09846400000001</v>
      </c>
      <c r="S664">
        <v>100</v>
      </c>
      <c r="T664">
        <v>0.95</v>
      </c>
      <c r="U664" t="s">
        <v>17</v>
      </c>
    </row>
    <row r="665" spans="1:21" hidden="1" x14ac:dyDescent="0.25">
      <c r="A665" t="s">
        <v>33</v>
      </c>
      <c r="B665">
        <v>500</v>
      </c>
      <c r="C665">
        <v>105</v>
      </c>
      <c r="D665">
        <v>4</v>
      </c>
      <c r="E665">
        <v>0.16283600000000001</v>
      </c>
      <c r="F665">
        <v>92.2</v>
      </c>
      <c r="G665">
        <v>45</v>
      </c>
      <c r="H665">
        <v>0.48806941431670281</v>
      </c>
      <c r="I665">
        <v>97.777799999999999</v>
      </c>
      <c r="J665">
        <v>2.2222</v>
      </c>
      <c r="K665">
        <v>94.285700000000006</v>
      </c>
      <c r="L665">
        <v>94</v>
      </c>
      <c r="M665">
        <v>100</v>
      </c>
      <c r="N665">
        <v>1933.17659</v>
      </c>
      <c r="O665">
        <v>256.3</v>
      </c>
      <c r="P665">
        <v>1676.6</v>
      </c>
      <c r="Q665">
        <v>0.27659</v>
      </c>
      <c r="R665">
        <v>126.09846400000001</v>
      </c>
      <c r="S665">
        <v>100</v>
      </c>
      <c r="T665">
        <v>0.95</v>
      </c>
      <c r="U665" t="s">
        <v>17</v>
      </c>
    </row>
    <row r="666" spans="1:21" hidden="1" x14ac:dyDescent="0.25">
      <c r="A666" t="s">
        <v>33</v>
      </c>
      <c r="B666">
        <v>500</v>
      </c>
      <c r="C666">
        <v>105</v>
      </c>
      <c r="D666">
        <v>4</v>
      </c>
      <c r="E666">
        <v>0.161049</v>
      </c>
      <c r="F666">
        <v>92.2</v>
      </c>
      <c r="G666">
        <v>45</v>
      </c>
      <c r="H666">
        <v>0.48806941431670281</v>
      </c>
      <c r="I666">
        <v>97.777799999999999</v>
      </c>
      <c r="J666">
        <v>2.2222</v>
      </c>
      <c r="K666">
        <v>94.285700000000006</v>
      </c>
      <c r="L666">
        <v>94</v>
      </c>
      <c r="M666">
        <v>100</v>
      </c>
      <c r="N666">
        <v>1933.17659</v>
      </c>
      <c r="O666">
        <v>256.3</v>
      </c>
      <c r="P666">
        <v>1676.6</v>
      </c>
      <c r="Q666">
        <v>0.27659</v>
      </c>
      <c r="R666">
        <v>126.069829</v>
      </c>
      <c r="S666">
        <v>100</v>
      </c>
      <c r="T666">
        <v>0.95</v>
      </c>
      <c r="U666" t="s">
        <v>17</v>
      </c>
    </row>
    <row r="667" spans="1:21" hidden="1" x14ac:dyDescent="0.25">
      <c r="A667" t="s">
        <v>33</v>
      </c>
      <c r="B667">
        <v>500</v>
      </c>
      <c r="C667">
        <v>105</v>
      </c>
      <c r="D667">
        <v>4</v>
      </c>
      <c r="E667">
        <v>0.16061600000000001</v>
      </c>
      <c r="F667">
        <v>92.2</v>
      </c>
      <c r="G667">
        <v>45</v>
      </c>
      <c r="H667">
        <v>0.48806941431670281</v>
      </c>
      <c r="I667">
        <v>97.777799999999999</v>
      </c>
      <c r="J667">
        <v>2.2222</v>
      </c>
      <c r="K667">
        <v>94.285700000000006</v>
      </c>
      <c r="L667">
        <v>94</v>
      </c>
      <c r="M667">
        <v>100</v>
      </c>
      <c r="N667">
        <v>1933.17659</v>
      </c>
      <c r="O667">
        <v>256.3</v>
      </c>
      <c r="P667">
        <v>1676.6</v>
      </c>
      <c r="Q667">
        <v>0.27659</v>
      </c>
      <c r="R667">
        <v>126.069829</v>
      </c>
      <c r="S667">
        <v>100</v>
      </c>
      <c r="T667">
        <v>0.95</v>
      </c>
      <c r="U667" t="s">
        <v>17</v>
      </c>
    </row>
    <row r="668" spans="1:21" hidden="1" x14ac:dyDescent="0.25">
      <c r="A668" t="s">
        <v>33</v>
      </c>
      <c r="B668">
        <v>500</v>
      </c>
      <c r="C668">
        <v>105</v>
      </c>
      <c r="D668">
        <v>4</v>
      </c>
      <c r="E668">
        <v>0.160303</v>
      </c>
      <c r="F668">
        <v>92.2</v>
      </c>
      <c r="G668">
        <v>45</v>
      </c>
      <c r="H668">
        <v>0.48806941431670281</v>
      </c>
      <c r="I668">
        <v>97.777799999999999</v>
      </c>
      <c r="J668">
        <v>2.2222</v>
      </c>
      <c r="K668">
        <v>94.285700000000006</v>
      </c>
      <c r="L668">
        <v>94</v>
      </c>
      <c r="M668">
        <v>100</v>
      </c>
      <c r="N668">
        <v>1933.17659</v>
      </c>
      <c r="O668">
        <v>256.3</v>
      </c>
      <c r="P668">
        <v>1676.6</v>
      </c>
      <c r="Q668">
        <v>0.27659</v>
      </c>
      <c r="R668">
        <v>126.069829</v>
      </c>
      <c r="S668">
        <v>100</v>
      </c>
      <c r="T668">
        <v>0.95</v>
      </c>
      <c r="U668" t="s">
        <v>17</v>
      </c>
    </row>
    <row r="669" spans="1:21" hidden="1" x14ac:dyDescent="0.25">
      <c r="A669" t="s">
        <v>33</v>
      </c>
      <c r="B669">
        <v>500</v>
      </c>
      <c r="C669">
        <v>105</v>
      </c>
      <c r="D669">
        <v>4</v>
      </c>
      <c r="E669">
        <v>0.162026</v>
      </c>
      <c r="F669">
        <v>92.2</v>
      </c>
      <c r="G669">
        <v>45</v>
      </c>
      <c r="H669">
        <v>0.48806941431670281</v>
      </c>
      <c r="I669">
        <v>97.777799999999999</v>
      </c>
      <c r="J669">
        <v>2.2222</v>
      </c>
      <c r="K669">
        <v>94.285700000000006</v>
      </c>
      <c r="L669">
        <v>94</v>
      </c>
      <c r="M669">
        <v>100</v>
      </c>
      <c r="N669">
        <v>1933.17659</v>
      </c>
      <c r="O669">
        <v>256.3</v>
      </c>
      <c r="P669">
        <v>1676.6</v>
      </c>
      <c r="Q669">
        <v>0.27659</v>
      </c>
      <c r="R669">
        <v>126.09846400000001</v>
      </c>
      <c r="S669">
        <v>100</v>
      </c>
      <c r="T669">
        <v>0.95</v>
      </c>
      <c r="U669" t="s">
        <v>17</v>
      </c>
    </row>
    <row r="670" spans="1:21" hidden="1" x14ac:dyDescent="0.25">
      <c r="A670" t="s">
        <v>33</v>
      </c>
      <c r="B670">
        <v>500</v>
      </c>
      <c r="C670">
        <v>105</v>
      </c>
      <c r="D670">
        <v>4</v>
      </c>
      <c r="E670">
        <v>0.16183800000000001</v>
      </c>
      <c r="F670">
        <v>92.2</v>
      </c>
      <c r="G670">
        <v>45</v>
      </c>
      <c r="H670">
        <v>0.48806941431670281</v>
      </c>
      <c r="I670">
        <v>97.777799999999999</v>
      </c>
      <c r="J670">
        <v>2.2222</v>
      </c>
      <c r="K670">
        <v>94.285700000000006</v>
      </c>
      <c r="L670">
        <v>94</v>
      </c>
      <c r="M670">
        <v>100</v>
      </c>
      <c r="N670">
        <v>1933.17659</v>
      </c>
      <c r="O670">
        <v>256.3</v>
      </c>
      <c r="P670">
        <v>1676.6</v>
      </c>
      <c r="Q670">
        <v>0.27659</v>
      </c>
      <c r="R670">
        <v>126.09846899999999</v>
      </c>
      <c r="S670">
        <v>100</v>
      </c>
      <c r="T670">
        <v>0.95</v>
      </c>
      <c r="U670" t="s">
        <v>17</v>
      </c>
    </row>
    <row r="671" spans="1:21" hidden="1" x14ac:dyDescent="0.25">
      <c r="A671" t="s">
        <v>33</v>
      </c>
      <c r="B671">
        <v>500</v>
      </c>
      <c r="C671">
        <v>105</v>
      </c>
      <c r="D671">
        <v>4</v>
      </c>
      <c r="E671">
        <v>0.162466</v>
      </c>
      <c r="F671">
        <v>92.2</v>
      </c>
      <c r="G671">
        <v>45</v>
      </c>
      <c r="H671">
        <v>0.48806941431670281</v>
      </c>
      <c r="I671">
        <v>97.777799999999999</v>
      </c>
      <c r="J671">
        <v>2.2222</v>
      </c>
      <c r="K671">
        <v>94.285700000000006</v>
      </c>
      <c r="L671">
        <v>94</v>
      </c>
      <c r="M671">
        <v>100</v>
      </c>
      <c r="N671">
        <v>1933.17659</v>
      </c>
      <c r="O671">
        <v>256.3</v>
      </c>
      <c r="P671">
        <v>1676.6</v>
      </c>
      <c r="Q671">
        <v>0.27659</v>
      </c>
      <c r="R671">
        <v>126.069829</v>
      </c>
      <c r="S671">
        <v>100</v>
      </c>
      <c r="T671">
        <v>0.95</v>
      </c>
      <c r="U671" t="s">
        <v>17</v>
      </c>
    </row>
    <row r="672" spans="1:21" hidden="1" x14ac:dyDescent="0.25">
      <c r="A672" t="s">
        <v>33</v>
      </c>
      <c r="B672">
        <v>500</v>
      </c>
      <c r="C672">
        <v>105</v>
      </c>
      <c r="D672">
        <v>4</v>
      </c>
      <c r="E672">
        <v>0.16126799999999999</v>
      </c>
      <c r="F672">
        <v>92.2</v>
      </c>
      <c r="G672">
        <v>45</v>
      </c>
      <c r="H672">
        <v>0.48806941431670281</v>
      </c>
      <c r="I672">
        <v>97.777799999999999</v>
      </c>
      <c r="J672">
        <v>2.2222</v>
      </c>
      <c r="K672">
        <v>94.285700000000006</v>
      </c>
      <c r="L672">
        <v>94</v>
      </c>
      <c r="M672">
        <v>100</v>
      </c>
      <c r="N672">
        <v>1933.17659</v>
      </c>
      <c r="O672">
        <v>256.3</v>
      </c>
      <c r="P672">
        <v>1676.6</v>
      </c>
      <c r="Q672">
        <v>0.27659</v>
      </c>
      <c r="R672">
        <v>126.09846899999999</v>
      </c>
      <c r="S672">
        <v>100</v>
      </c>
      <c r="T672">
        <v>0.95</v>
      </c>
      <c r="U672" t="s">
        <v>17</v>
      </c>
    </row>
    <row r="673" spans="1:21" hidden="1" x14ac:dyDescent="0.25">
      <c r="A673" t="s">
        <v>33</v>
      </c>
      <c r="B673">
        <v>500</v>
      </c>
      <c r="C673">
        <v>105</v>
      </c>
      <c r="D673">
        <v>4</v>
      </c>
      <c r="E673">
        <v>0.16105900000000001</v>
      </c>
      <c r="F673">
        <v>92.2</v>
      </c>
      <c r="G673">
        <v>45</v>
      </c>
      <c r="H673">
        <v>0.48806941431670281</v>
      </c>
      <c r="I673">
        <v>97.777799999999999</v>
      </c>
      <c r="J673">
        <v>2.2222</v>
      </c>
      <c r="K673">
        <v>94.285700000000006</v>
      </c>
      <c r="L673">
        <v>94</v>
      </c>
      <c r="M673">
        <v>100</v>
      </c>
      <c r="N673">
        <v>1933.17659</v>
      </c>
      <c r="O673">
        <v>256.3</v>
      </c>
      <c r="P673">
        <v>1676.6</v>
      </c>
      <c r="Q673">
        <v>0.27659</v>
      </c>
      <c r="R673">
        <v>126.09846400000001</v>
      </c>
      <c r="S673">
        <v>100</v>
      </c>
      <c r="T673">
        <v>0.95</v>
      </c>
      <c r="U673" t="s">
        <v>17</v>
      </c>
    </row>
    <row r="674" spans="1:21" hidden="1" x14ac:dyDescent="0.25">
      <c r="A674" t="s">
        <v>33</v>
      </c>
      <c r="B674">
        <v>500</v>
      </c>
      <c r="C674">
        <v>105</v>
      </c>
      <c r="D674">
        <v>4</v>
      </c>
      <c r="E674">
        <v>0.166296</v>
      </c>
      <c r="F674">
        <v>92.2</v>
      </c>
      <c r="G674">
        <v>45</v>
      </c>
      <c r="H674">
        <v>0.48806941431670281</v>
      </c>
      <c r="I674">
        <v>97.777799999999999</v>
      </c>
      <c r="J674">
        <v>2.2222</v>
      </c>
      <c r="K674">
        <v>94.285700000000006</v>
      </c>
      <c r="L674">
        <v>94</v>
      </c>
      <c r="M674">
        <v>100</v>
      </c>
      <c r="N674">
        <v>1933.17659</v>
      </c>
      <c r="O674">
        <v>256.3</v>
      </c>
      <c r="P674">
        <v>1676.6</v>
      </c>
      <c r="Q674">
        <v>0.27659</v>
      </c>
      <c r="R674">
        <v>126.09846400000001</v>
      </c>
      <c r="S674">
        <v>100</v>
      </c>
      <c r="T674">
        <v>0.95</v>
      </c>
      <c r="U674" t="s">
        <v>17</v>
      </c>
    </row>
    <row r="675" spans="1:21" hidden="1" x14ac:dyDescent="0.25">
      <c r="A675" t="s">
        <v>33</v>
      </c>
      <c r="B675">
        <v>500</v>
      </c>
      <c r="C675">
        <v>105</v>
      </c>
      <c r="D675">
        <v>4</v>
      </c>
      <c r="E675">
        <v>0.15934400000000001</v>
      </c>
      <c r="F675">
        <v>92.2</v>
      </c>
      <c r="G675">
        <v>45</v>
      </c>
      <c r="H675">
        <v>0.48806941431670281</v>
      </c>
      <c r="I675">
        <v>97.777799999999999</v>
      </c>
      <c r="J675">
        <v>2.2222</v>
      </c>
      <c r="K675">
        <v>94.285700000000006</v>
      </c>
      <c r="L675">
        <v>94</v>
      </c>
      <c r="M675">
        <v>100</v>
      </c>
      <c r="N675">
        <v>1933.17659</v>
      </c>
      <c r="O675">
        <v>256.3</v>
      </c>
      <c r="P675">
        <v>1676.6</v>
      </c>
      <c r="Q675">
        <v>0.27659</v>
      </c>
      <c r="R675">
        <v>126.069829</v>
      </c>
      <c r="S675">
        <v>100</v>
      </c>
      <c r="T675">
        <v>0.95</v>
      </c>
      <c r="U675" t="s">
        <v>17</v>
      </c>
    </row>
    <row r="676" spans="1:21" hidden="1" x14ac:dyDescent="0.25">
      <c r="A676" t="s">
        <v>33</v>
      </c>
      <c r="B676">
        <v>500</v>
      </c>
      <c r="C676">
        <v>105</v>
      </c>
      <c r="D676">
        <v>4</v>
      </c>
      <c r="E676">
        <v>0.16111600000000001</v>
      </c>
      <c r="F676">
        <v>92.2</v>
      </c>
      <c r="G676">
        <v>45</v>
      </c>
      <c r="H676">
        <v>0.48806941431670281</v>
      </c>
      <c r="I676">
        <v>97.777799999999999</v>
      </c>
      <c r="J676">
        <v>2.2222</v>
      </c>
      <c r="K676">
        <v>94.285700000000006</v>
      </c>
      <c r="L676">
        <v>94</v>
      </c>
      <c r="M676">
        <v>100</v>
      </c>
      <c r="N676">
        <v>1933.17659</v>
      </c>
      <c r="O676">
        <v>256.3</v>
      </c>
      <c r="P676">
        <v>1676.6</v>
      </c>
      <c r="Q676">
        <v>0.27659</v>
      </c>
      <c r="R676">
        <v>126.069829</v>
      </c>
      <c r="S676">
        <v>100</v>
      </c>
      <c r="T676">
        <v>0.95</v>
      </c>
      <c r="U676" t="s">
        <v>17</v>
      </c>
    </row>
    <row r="677" spans="1:21" hidden="1" x14ac:dyDescent="0.25">
      <c r="A677" t="s">
        <v>33</v>
      </c>
      <c r="B677">
        <v>500</v>
      </c>
      <c r="C677">
        <v>105</v>
      </c>
      <c r="D677">
        <v>4</v>
      </c>
      <c r="E677">
        <v>0.16023399999999999</v>
      </c>
      <c r="F677">
        <v>92.2</v>
      </c>
      <c r="G677">
        <v>45</v>
      </c>
      <c r="H677">
        <v>0.48806941431670281</v>
      </c>
      <c r="I677">
        <v>97.777799999999999</v>
      </c>
      <c r="J677">
        <v>2.2222</v>
      </c>
      <c r="K677">
        <v>94.285700000000006</v>
      </c>
      <c r="L677">
        <v>94</v>
      </c>
      <c r="M677">
        <v>100</v>
      </c>
      <c r="N677">
        <v>1933.17659</v>
      </c>
      <c r="O677">
        <v>256.3</v>
      </c>
      <c r="P677">
        <v>1676.6</v>
      </c>
      <c r="Q677">
        <v>0.27659</v>
      </c>
      <c r="R677">
        <v>126.069829</v>
      </c>
      <c r="S677">
        <v>100</v>
      </c>
      <c r="T677">
        <v>0.95</v>
      </c>
      <c r="U677" t="s">
        <v>17</v>
      </c>
    </row>
    <row r="678" spans="1:21" hidden="1" x14ac:dyDescent="0.25">
      <c r="A678" t="s">
        <v>33</v>
      </c>
      <c r="B678">
        <v>500</v>
      </c>
      <c r="C678">
        <v>105</v>
      </c>
      <c r="D678">
        <v>4</v>
      </c>
      <c r="E678">
        <v>0.16003000000000001</v>
      </c>
      <c r="F678">
        <v>92.2</v>
      </c>
      <c r="G678">
        <v>45</v>
      </c>
      <c r="H678">
        <v>0.48806941431670281</v>
      </c>
      <c r="I678">
        <v>97.777799999999999</v>
      </c>
      <c r="J678">
        <v>2.2222</v>
      </c>
      <c r="K678">
        <v>94.285700000000006</v>
      </c>
      <c r="L678">
        <v>94</v>
      </c>
      <c r="M678">
        <v>100</v>
      </c>
      <c r="N678">
        <v>1933.17659</v>
      </c>
      <c r="O678">
        <v>256.3</v>
      </c>
      <c r="P678">
        <v>1676.6</v>
      </c>
      <c r="Q678">
        <v>0.27659</v>
      </c>
      <c r="R678">
        <v>126.09846899999999</v>
      </c>
      <c r="S678">
        <v>100</v>
      </c>
      <c r="T678">
        <v>0.95</v>
      </c>
      <c r="U678" t="s">
        <v>17</v>
      </c>
    </row>
    <row r="679" spans="1:21" hidden="1" x14ac:dyDescent="0.25">
      <c r="A679" t="s">
        <v>33</v>
      </c>
      <c r="B679">
        <v>500</v>
      </c>
      <c r="C679">
        <v>105</v>
      </c>
      <c r="D679">
        <v>4</v>
      </c>
      <c r="E679">
        <v>0.16089700000000001</v>
      </c>
      <c r="F679">
        <v>92.2</v>
      </c>
      <c r="G679">
        <v>45</v>
      </c>
      <c r="H679">
        <v>0.48806941431670281</v>
      </c>
      <c r="I679">
        <v>97.777799999999999</v>
      </c>
      <c r="J679">
        <v>2.2222</v>
      </c>
      <c r="K679">
        <v>94.285700000000006</v>
      </c>
      <c r="L679">
        <v>94</v>
      </c>
      <c r="M679">
        <v>100</v>
      </c>
      <c r="N679">
        <v>1933.17659</v>
      </c>
      <c r="O679">
        <v>256.3</v>
      </c>
      <c r="P679">
        <v>1676.6</v>
      </c>
      <c r="Q679">
        <v>0.27659</v>
      </c>
      <c r="R679">
        <v>126.069829</v>
      </c>
      <c r="S679">
        <v>100</v>
      </c>
      <c r="T679">
        <v>0.95</v>
      </c>
      <c r="U679" t="s">
        <v>17</v>
      </c>
    </row>
    <row r="680" spans="1:21" hidden="1" x14ac:dyDescent="0.25">
      <c r="A680" t="s">
        <v>33</v>
      </c>
      <c r="B680">
        <v>500</v>
      </c>
      <c r="C680">
        <v>105</v>
      </c>
      <c r="D680">
        <v>4</v>
      </c>
      <c r="E680">
        <v>0.15953200000000001</v>
      </c>
      <c r="F680">
        <v>92.2</v>
      </c>
      <c r="G680">
        <v>45</v>
      </c>
      <c r="H680">
        <v>0.48806941431670281</v>
      </c>
      <c r="I680">
        <v>97.777799999999999</v>
      </c>
      <c r="J680">
        <v>2.2222</v>
      </c>
      <c r="K680">
        <v>94.285700000000006</v>
      </c>
      <c r="L680">
        <v>94</v>
      </c>
      <c r="M680">
        <v>100</v>
      </c>
      <c r="N680">
        <v>1933.17659</v>
      </c>
      <c r="O680">
        <v>256.3</v>
      </c>
      <c r="P680">
        <v>1676.6</v>
      </c>
      <c r="Q680">
        <v>0.27659</v>
      </c>
      <c r="R680">
        <v>126.098499</v>
      </c>
      <c r="S680">
        <v>100</v>
      </c>
      <c r="T680">
        <v>0.95</v>
      </c>
      <c r="U680" t="s">
        <v>17</v>
      </c>
    </row>
    <row r="681" spans="1:21" hidden="1" x14ac:dyDescent="0.25">
      <c r="A681" t="s">
        <v>33</v>
      </c>
      <c r="B681">
        <v>500</v>
      </c>
      <c r="C681">
        <v>105</v>
      </c>
      <c r="D681">
        <v>4</v>
      </c>
      <c r="E681">
        <v>0.16085099999999999</v>
      </c>
      <c r="F681">
        <v>92.2</v>
      </c>
      <c r="G681">
        <v>45</v>
      </c>
      <c r="H681">
        <v>0.48806941431670281</v>
      </c>
      <c r="I681">
        <v>97.777799999999999</v>
      </c>
      <c r="J681">
        <v>2.2222</v>
      </c>
      <c r="K681">
        <v>94.285700000000006</v>
      </c>
      <c r="L681">
        <v>94</v>
      </c>
      <c r="M681">
        <v>100</v>
      </c>
      <c r="N681">
        <v>1933.17659</v>
      </c>
      <c r="O681">
        <v>256.3</v>
      </c>
      <c r="P681">
        <v>1676.6</v>
      </c>
      <c r="Q681">
        <v>0.27659</v>
      </c>
      <c r="R681">
        <v>126.069829</v>
      </c>
      <c r="S681">
        <v>100</v>
      </c>
      <c r="T681">
        <v>0.95</v>
      </c>
      <c r="U681" t="s">
        <v>17</v>
      </c>
    </row>
    <row r="682" spans="1:21" hidden="1" x14ac:dyDescent="0.25">
      <c r="A682" t="s">
        <v>33</v>
      </c>
      <c r="B682">
        <v>500</v>
      </c>
      <c r="C682">
        <v>105</v>
      </c>
      <c r="D682">
        <v>4</v>
      </c>
      <c r="E682">
        <v>0.160917</v>
      </c>
      <c r="F682">
        <v>92.2</v>
      </c>
      <c r="G682">
        <v>45</v>
      </c>
      <c r="H682">
        <v>0.48806941431670281</v>
      </c>
      <c r="I682">
        <v>97.777799999999999</v>
      </c>
      <c r="J682">
        <v>2.2222</v>
      </c>
      <c r="K682">
        <v>94.285700000000006</v>
      </c>
      <c r="L682">
        <v>94</v>
      </c>
      <c r="M682">
        <v>100</v>
      </c>
      <c r="N682">
        <v>1933.17659</v>
      </c>
      <c r="O682">
        <v>256.3</v>
      </c>
      <c r="P682">
        <v>1676.6</v>
      </c>
      <c r="Q682">
        <v>0.27659</v>
      </c>
      <c r="R682">
        <v>126.09846400000001</v>
      </c>
      <c r="S682">
        <v>100</v>
      </c>
      <c r="T682">
        <v>0.95</v>
      </c>
      <c r="U682" t="s">
        <v>17</v>
      </c>
    </row>
    <row r="683" spans="1:21" hidden="1" x14ac:dyDescent="0.25">
      <c r="A683" t="s">
        <v>33</v>
      </c>
      <c r="B683">
        <v>500</v>
      </c>
      <c r="C683">
        <v>105</v>
      </c>
      <c r="D683">
        <v>4</v>
      </c>
      <c r="E683">
        <v>0.16167999999999999</v>
      </c>
      <c r="F683">
        <v>92.2</v>
      </c>
      <c r="G683">
        <v>45</v>
      </c>
      <c r="H683">
        <v>0.48806941431670281</v>
      </c>
      <c r="I683">
        <v>97.777799999999999</v>
      </c>
      <c r="J683">
        <v>2.2222</v>
      </c>
      <c r="K683">
        <v>94.285700000000006</v>
      </c>
      <c r="L683">
        <v>94</v>
      </c>
      <c r="M683">
        <v>100</v>
      </c>
      <c r="N683">
        <v>1933.17659</v>
      </c>
      <c r="O683">
        <v>256.3</v>
      </c>
      <c r="P683">
        <v>1676.6</v>
      </c>
      <c r="Q683">
        <v>0.27659</v>
      </c>
      <c r="R683">
        <v>126.069829</v>
      </c>
      <c r="S683">
        <v>100</v>
      </c>
      <c r="T683">
        <v>0.95</v>
      </c>
      <c r="U683" t="s">
        <v>17</v>
      </c>
    </row>
    <row r="684" spans="1:21" hidden="1" x14ac:dyDescent="0.25">
      <c r="A684" t="s">
        <v>33</v>
      </c>
      <c r="B684">
        <v>500</v>
      </c>
      <c r="C684">
        <v>105</v>
      </c>
      <c r="D684">
        <v>4</v>
      </c>
      <c r="E684">
        <v>0.16219500000000001</v>
      </c>
      <c r="F684">
        <v>92.2</v>
      </c>
      <c r="G684">
        <v>45</v>
      </c>
      <c r="H684">
        <v>0.48806941431670281</v>
      </c>
      <c r="I684">
        <v>97.777799999999999</v>
      </c>
      <c r="J684">
        <v>2.2222</v>
      </c>
      <c r="K684">
        <v>94.285700000000006</v>
      </c>
      <c r="L684">
        <v>94</v>
      </c>
      <c r="M684">
        <v>100</v>
      </c>
      <c r="N684">
        <v>1933.17659</v>
      </c>
      <c r="O684">
        <v>256.3</v>
      </c>
      <c r="P684">
        <v>1676.6</v>
      </c>
      <c r="Q684">
        <v>0.27659</v>
      </c>
      <c r="R684">
        <v>126.09846400000001</v>
      </c>
      <c r="S684">
        <v>100</v>
      </c>
      <c r="T684">
        <v>0.95</v>
      </c>
      <c r="U684" t="s">
        <v>17</v>
      </c>
    </row>
    <row r="685" spans="1:21" hidden="1" x14ac:dyDescent="0.25">
      <c r="A685" t="s">
        <v>33</v>
      </c>
      <c r="B685">
        <v>500</v>
      </c>
      <c r="C685">
        <v>105</v>
      </c>
      <c r="D685">
        <v>4</v>
      </c>
      <c r="E685">
        <v>0.16011600000000001</v>
      </c>
      <c r="F685">
        <v>92.2</v>
      </c>
      <c r="G685">
        <v>45</v>
      </c>
      <c r="H685">
        <v>0.48806941431670281</v>
      </c>
      <c r="I685">
        <v>97.777799999999999</v>
      </c>
      <c r="J685">
        <v>2.2222</v>
      </c>
      <c r="K685">
        <v>94.285700000000006</v>
      </c>
      <c r="L685">
        <v>94</v>
      </c>
      <c r="M685">
        <v>100</v>
      </c>
      <c r="N685">
        <v>1933.17659</v>
      </c>
      <c r="O685">
        <v>256.3</v>
      </c>
      <c r="P685">
        <v>1676.6</v>
      </c>
      <c r="Q685">
        <v>0.27659</v>
      </c>
      <c r="R685">
        <v>126.09846899999999</v>
      </c>
      <c r="S685">
        <v>100</v>
      </c>
      <c r="T685">
        <v>0.95</v>
      </c>
      <c r="U685" t="s">
        <v>17</v>
      </c>
    </row>
    <row r="686" spans="1:21" hidden="1" x14ac:dyDescent="0.25">
      <c r="A686" t="s">
        <v>33</v>
      </c>
      <c r="B686">
        <v>500</v>
      </c>
      <c r="C686">
        <v>105</v>
      </c>
      <c r="D686">
        <v>4</v>
      </c>
      <c r="E686">
        <v>0.16158500000000001</v>
      </c>
      <c r="F686">
        <v>92.2</v>
      </c>
      <c r="G686">
        <v>45</v>
      </c>
      <c r="H686">
        <v>0.48806941431670281</v>
      </c>
      <c r="I686">
        <v>97.777799999999999</v>
      </c>
      <c r="J686">
        <v>2.2222</v>
      </c>
      <c r="K686">
        <v>94.285700000000006</v>
      </c>
      <c r="L686">
        <v>94</v>
      </c>
      <c r="M686">
        <v>100</v>
      </c>
      <c r="N686">
        <v>1933.17659</v>
      </c>
      <c r="O686">
        <v>256.3</v>
      </c>
      <c r="P686">
        <v>1676.6</v>
      </c>
      <c r="Q686">
        <v>0.27659</v>
      </c>
      <c r="R686">
        <v>126.069829</v>
      </c>
      <c r="S686">
        <v>100</v>
      </c>
      <c r="T686">
        <v>0.95</v>
      </c>
      <c r="U686" t="s">
        <v>17</v>
      </c>
    </row>
    <row r="687" spans="1:21" hidden="1" x14ac:dyDescent="0.25">
      <c r="A687" t="s">
        <v>33</v>
      </c>
      <c r="B687">
        <v>500</v>
      </c>
      <c r="C687">
        <v>105</v>
      </c>
      <c r="D687">
        <v>4</v>
      </c>
      <c r="E687">
        <v>0.17014599999999999</v>
      </c>
      <c r="F687">
        <v>92.2</v>
      </c>
      <c r="G687">
        <v>45</v>
      </c>
      <c r="H687">
        <v>0.48806941431670281</v>
      </c>
      <c r="I687">
        <v>97.777799999999999</v>
      </c>
      <c r="J687">
        <v>2.2222</v>
      </c>
      <c r="K687">
        <v>94.285700000000006</v>
      </c>
      <c r="L687">
        <v>94</v>
      </c>
      <c r="M687">
        <v>100</v>
      </c>
      <c r="N687">
        <v>1933.17659</v>
      </c>
      <c r="O687">
        <v>256.3</v>
      </c>
      <c r="P687">
        <v>1676.6</v>
      </c>
      <c r="Q687">
        <v>0.27659</v>
      </c>
      <c r="R687">
        <v>126.069829</v>
      </c>
      <c r="S687">
        <v>100</v>
      </c>
      <c r="T687">
        <v>0.95</v>
      </c>
      <c r="U687" t="s">
        <v>17</v>
      </c>
    </row>
    <row r="688" spans="1:21" hidden="1" x14ac:dyDescent="0.25">
      <c r="A688" t="s">
        <v>33</v>
      </c>
      <c r="B688">
        <v>500</v>
      </c>
      <c r="C688">
        <v>105</v>
      </c>
      <c r="D688">
        <v>4</v>
      </c>
      <c r="E688">
        <v>0.15995699999999999</v>
      </c>
      <c r="F688">
        <v>92.2</v>
      </c>
      <c r="G688">
        <v>45</v>
      </c>
      <c r="H688">
        <v>0.48806941431670281</v>
      </c>
      <c r="I688">
        <v>97.777799999999999</v>
      </c>
      <c r="J688">
        <v>2.2222</v>
      </c>
      <c r="K688">
        <v>94.285700000000006</v>
      </c>
      <c r="L688">
        <v>94</v>
      </c>
      <c r="M688">
        <v>100</v>
      </c>
      <c r="N688">
        <v>1933.17659</v>
      </c>
      <c r="O688">
        <v>256.3</v>
      </c>
      <c r="P688">
        <v>1676.6</v>
      </c>
      <c r="Q688">
        <v>0.27659</v>
      </c>
      <c r="R688">
        <v>126.09846400000001</v>
      </c>
      <c r="S688">
        <v>100</v>
      </c>
      <c r="T688">
        <v>0.95</v>
      </c>
      <c r="U688" t="s">
        <v>17</v>
      </c>
    </row>
    <row r="689" spans="1:21" hidden="1" x14ac:dyDescent="0.25">
      <c r="A689" t="s">
        <v>33</v>
      </c>
      <c r="B689">
        <v>500</v>
      </c>
      <c r="C689">
        <v>105</v>
      </c>
      <c r="D689">
        <v>4</v>
      </c>
      <c r="E689">
        <v>0.16187799999999999</v>
      </c>
      <c r="F689">
        <v>92.2</v>
      </c>
      <c r="G689">
        <v>45</v>
      </c>
      <c r="H689">
        <v>0.48806941431670281</v>
      </c>
      <c r="I689">
        <v>97.777799999999999</v>
      </c>
      <c r="J689">
        <v>2.2222</v>
      </c>
      <c r="K689">
        <v>94.285700000000006</v>
      </c>
      <c r="L689">
        <v>94</v>
      </c>
      <c r="M689">
        <v>100</v>
      </c>
      <c r="N689">
        <v>1933.17659</v>
      </c>
      <c r="O689">
        <v>256.3</v>
      </c>
      <c r="P689">
        <v>1676.6</v>
      </c>
      <c r="Q689">
        <v>0.27659</v>
      </c>
      <c r="R689">
        <v>126.069829</v>
      </c>
      <c r="S689">
        <v>100</v>
      </c>
      <c r="T689">
        <v>0.95</v>
      </c>
      <c r="U689" t="s">
        <v>17</v>
      </c>
    </row>
    <row r="690" spans="1:21" hidden="1" x14ac:dyDescent="0.25">
      <c r="A690" t="s">
        <v>33</v>
      </c>
      <c r="B690">
        <v>500</v>
      </c>
      <c r="C690">
        <v>105</v>
      </c>
      <c r="D690">
        <v>4</v>
      </c>
      <c r="E690">
        <v>0.16137599999999999</v>
      </c>
      <c r="F690">
        <v>92.2</v>
      </c>
      <c r="G690">
        <v>45</v>
      </c>
      <c r="H690">
        <v>0.48806941431670281</v>
      </c>
      <c r="I690">
        <v>97.777799999999999</v>
      </c>
      <c r="J690">
        <v>2.2222</v>
      </c>
      <c r="K690">
        <v>94.285700000000006</v>
      </c>
      <c r="L690">
        <v>94</v>
      </c>
      <c r="M690">
        <v>100</v>
      </c>
      <c r="N690">
        <v>1933.17659</v>
      </c>
      <c r="O690">
        <v>256.3</v>
      </c>
      <c r="P690">
        <v>1676.6</v>
      </c>
      <c r="Q690">
        <v>0.27659</v>
      </c>
      <c r="R690">
        <v>126.09846899999999</v>
      </c>
      <c r="S690">
        <v>100</v>
      </c>
      <c r="T690">
        <v>0.95</v>
      </c>
      <c r="U690" t="s">
        <v>17</v>
      </c>
    </row>
    <row r="691" spans="1:21" hidden="1" x14ac:dyDescent="0.25">
      <c r="A691" t="s">
        <v>33</v>
      </c>
      <c r="B691">
        <v>500</v>
      </c>
      <c r="C691">
        <v>105</v>
      </c>
      <c r="D691">
        <v>4</v>
      </c>
      <c r="E691">
        <v>0.16098399999999999</v>
      </c>
      <c r="F691">
        <v>92.2</v>
      </c>
      <c r="G691">
        <v>45</v>
      </c>
      <c r="H691">
        <v>0.48806941431670281</v>
      </c>
      <c r="I691">
        <v>97.777799999999999</v>
      </c>
      <c r="J691">
        <v>2.2222</v>
      </c>
      <c r="K691">
        <v>94.285700000000006</v>
      </c>
      <c r="L691">
        <v>94</v>
      </c>
      <c r="M691">
        <v>100</v>
      </c>
      <c r="N691">
        <v>1933.17659</v>
      </c>
      <c r="O691">
        <v>256.3</v>
      </c>
      <c r="P691">
        <v>1676.6</v>
      </c>
      <c r="Q691">
        <v>0.27659</v>
      </c>
      <c r="R691">
        <v>126.09846899999999</v>
      </c>
      <c r="S691">
        <v>100</v>
      </c>
      <c r="T691">
        <v>0.95</v>
      </c>
      <c r="U691" t="s">
        <v>17</v>
      </c>
    </row>
    <row r="692" spans="1:21" hidden="1" x14ac:dyDescent="0.25">
      <c r="A692" t="s">
        <v>33</v>
      </c>
      <c r="B692">
        <v>500</v>
      </c>
      <c r="C692">
        <v>105</v>
      </c>
      <c r="D692">
        <v>4</v>
      </c>
      <c r="E692">
        <v>0.16047700000000001</v>
      </c>
      <c r="F692">
        <v>92.2</v>
      </c>
      <c r="G692">
        <v>45</v>
      </c>
      <c r="H692">
        <v>0.48806941431670281</v>
      </c>
      <c r="I692">
        <v>97.777799999999999</v>
      </c>
      <c r="J692">
        <v>2.2222</v>
      </c>
      <c r="K692">
        <v>94.285700000000006</v>
      </c>
      <c r="L692">
        <v>94</v>
      </c>
      <c r="M692">
        <v>100</v>
      </c>
      <c r="N692">
        <v>1933.1772699999999</v>
      </c>
      <c r="O692">
        <v>256.3</v>
      </c>
      <c r="P692">
        <v>1676.6</v>
      </c>
      <c r="Q692">
        <v>0.27727000000000002</v>
      </c>
      <c r="R692">
        <v>126.016166</v>
      </c>
      <c r="S692">
        <v>100</v>
      </c>
      <c r="T692">
        <v>0.95</v>
      </c>
      <c r="U692" t="s">
        <v>17</v>
      </c>
    </row>
    <row r="693" spans="1:21" hidden="1" x14ac:dyDescent="0.25">
      <c r="A693" t="s">
        <v>33</v>
      </c>
      <c r="B693">
        <v>500</v>
      </c>
      <c r="C693">
        <v>105</v>
      </c>
      <c r="D693">
        <v>4</v>
      </c>
      <c r="E693">
        <v>0.160637</v>
      </c>
      <c r="F693">
        <v>92.2</v>
      </c>
      <c r="G693">
        <v>45</v>
      </c>
      <c r="H693">
        <v>0.48806941431670281</v>
      </c>
      <c r="I693">
        <v>97.777799999999999</v>
      </c>
      <c r="J693">
        <v>2.2222</v>
      </c>
      <c r="K693">
        <v>94.285700000000006</v>
      </c>
      <c r="L693">
        <v>94</v>
      </c>
      <c r="M693">
        <v>100</v>
      </c>
      <c r="N693">
        <v>1933.1772699999999</v>
      </c>
      <c r="O693">
        <v>256.3</v>
      </c>
      <c r="P693">
        <v>1676.6</v>
      </c>
      <c r="Q693">
        <v>0.27727000000000002</v>
      </c>
      <c r="R693">
        <v>126.016199</v>
      </c>
      <c r="S693">
        <v>100</v>
      </c>
      <c r="T693">
        <v>0.95</v>
      </c>
      <c r="U693" t="s">
        <v>17</v>
      </c>
    </row>
    <row r="694" spans="1:21" hidden="1" x14ac:dyDescent="0.25">
      <c r="A694" t="s">
        <v>33</v>
      </c>
      <c r="B694">
        <v>500</v>
      </c>
      <c r="C694">
        <v>105</v>
      </c>
      <c r="D694">
        <v>4</v>
      </c>
      <c r="E694">
        <v>0.15989</v>
      </c>
      <c r="F694">
        <v>92.2</v>
      </c>
      <c r="G694">
        <v>45</v>
      </c>
      <c r="H694">
        <v>0.48806941431670281</v>
      </c>
      <c r="I694">
        <v>97.777799999999999</v>
      </c>
      <c r="J694">
        <v>2.2222</v>
      </c>
      <c r="K694">
        <v>94.285700000000006</v>
      </c>
      <c r="L694">
        <v>94</v>
      </c>
      <c r="M694">
        <v>100</v>
      </c>
      <c r="N694">
        <v>1933.1772699999999</v>
      </c>
      <c r="O694">
        <v>256.3</v>
      </c>
      <c r="P694">
        <v>1676.6</v>
      </c>
      <c r="Q694">
        <v>0.27727000000000002</v>
      </c>
      <c r="R694">
        <v>125.98752899999999</v>
      </c>
      <c r="S694">
        <v>100</v>
      </c>
      <c r="T694">
        <v>0.95</v>
      </c>
      <c r="U694" t="s">
        <v>17</v>
      </c>
    </row>
    <row r="695" spans="1:21" hidden="1" x14ac:dyDescent="0.25">
      <c r="A695" t="s">
        <v>33</v>
      </c>
      <c r="B695">
        <v>500</v>
      </c>
      <c r="C695">
        <v>105</v>
      </c>
      <c r="D695">
        <v>4</v>
      </c>
      <c r="E695">
        <v>0.16248099999999999</v>
      </c>
      <c r="F695">
        <v>92.2</v>
      </c>
      <c r="G695">
        <v>45</v>
      </c>
      <c r="H695">
        <v>0.48806941431670281</v>
      </c>
      <c r="I695">
        <v>97.777799999999999</v>
      </c>
      <c r="J695">
        <v>2.2222</v>
      </c>
      <c r="K695">
        <v>94.285700000000006</v>
      </c>
      <c r="L695">
        <v>94</v>
      </c>
      <c r="M695">
        <v>100</v>
      </c>
      <c r="N695">
        <v>1933.1772699999999</v>
      </c>
      <c r="O695">
        <v>256.3</v>
      </c>
      <c r="P695">
        <v>1676.6</v>
      </c>
      <c r="Q695">
        <v>0.27727000000000002</v>
      </c>
      <c r="R695">
        <v>125.987532</v>
      </c>
      <c r="S695">
        <v>100</v>
      </c>
      <c r="T695">
        <v>0.95</v>
      </c>
      <c r="U695" t="s">
        <v>17</v>
      </c>
    </row>
    <row r="696" spans="1:21" hidden="1" x14ac:dyDescent="0.25">
      <c r="A696" t="s">
        <v>33</v>
      </c>
      <c r="B696">
        <v>500</v>
      </c>
      <c r="C696">
        <v>105</v>
      </c>
      <c r="D696">
        <v>4</v>
      </c>
      <c r="E696">
        <v>0.163609</v>
      </c>
      <c r="F696">
        <v>92.2</v>
      </c>
      <c r="G696">
        <v>45</v>
      </c>
      <c r="H696">
        <v>0.48806941431670281</v>
      </c>
      <c r="I696">
        <v>97.777799999999999</v>
      </c>
      <c r="J696">
        <v>2.2222</v>
      </c>
      <c r="K696">
        <v>95.238100000000003</v>
      </c>
      <c r="L696">
        <v>95</v>
      </c>
      <c r="M696">
        <v>100</v>
      </c>
      <c r="N696">
        <v>1933.1775600000001</v>
      </c>
      <c r="O696">
        <v>256.3</v>
      </c>
      <c r="P696">
        <v>1676.6</v>
      </c>
      <c r="Q696">
        <v>0.27755999999999997</v>
      </c>
      <c r="R696">
        <v>126.14626699999999</v>
      </c>
      <c r="S696">
        <v>100</v>
      </c>
      <c r="T696">
        <v>0.95</v>
      </c>
      <c r="U696" t="s">
        <v>17</v>
      </c>
    </row>
    <row r="697" spans="1:21" hidden="1" x14ac:dyDescent="0.25">
      <c r="A697" t="s">
        <v>33</v>
      </c>
      <c r="B697">
        <v>500</v>
      </c>
      <c r="C697">
        <v>105</v>
      </c>
      <c r="D697">
        <v>4</v>
      </c>
      <c r="E697">
        <v>0.16131499999999999</v>
      </c>
      <c r="F697">
        <v>92.2</v>
      </c>
      <c r="G697">
        <v>45</v>
      </c>
      <c r="H697">
        <v>0.48806941431670281</v>
      </c>
      <c r="I697">
        <v>97.777799999999999</v>
      </c>
      <c r="J697">
        <v>2.2222</v>
      </c>
      <c r="K697">
        <v>95.238100000000003</v>
      </c>
      <c r="L697">
        <v>95</v>
      </c>
      <c r="M697">
        <v>100</v>
      </c>
      <c r="N697">
        <v>1933.1775600000001</v>
      </c>
      <c r="O697">
        <v>256.3</v>
      </c>
      <c r="P697">
        <v>1676.6</v>
      </c>
      <c r="Q697">
        <v>0.27755999999999997</v>
      </c>
      <c r="R697">
        <v>126.14626199999999</v>
      </c>
      <c r="S697">
        <v>100</v>
      </c>
      <c r="T697">
        <v>0.95</v>
      </c>
      <c r="U697" t="s">
        <v>17</v>
      </c>
    </row>
    <row r="698" spans="1:21" hidden="1" x14ac:dyDescent="0.25">
      <c r="A698" t="s">
        <v>33</v>
      </c>
      <c r="B698">
        <v>500</v>
      </c>
      <c r="C698">
        <v>105</v>
      </c>
      <c r="D698">
        <v>4</v>
      </c>
      <c r="E698">
        <v>0.160937</v>
      </c>
      <c r="F698">
        <v>92.2</v>
      </c>
      <c r="G698">
        <v>45</v>
      </c>
      <c r="H698">
        <v>0.48806941431670281</v>
      </c>
      <c r="I698">
        <v>97.777799999999999</v>
      </c>
      <c r="J698">
        <v>2.2222</v>
      </c>
      <c r="K698">
        <v>95.238100000000003</v>
      </c>
      <c r="L698">
        <v>95</v>
      </c>
      <c r="M698">
        <v>100</v>
      </c>
      <c r="N698">
        <v>1933.1775600000001</v>
      </c>
      <c r="O698">
        <v>256.3</v>
      </c>
      <c r="P698">
        <v>1676.6</v>
      </c>
      <c r="Q698">
        <v>0.27755999999999997</v>
      </c>
      <c r="R698">
        <v>126.117627</v>
      </c>
      <c r="S698">
        <v>100</v>
      </c>
      <c r="T698">
        <v>0.95</v>
      </c>
      <c r="U698" t="s">
        <v>17</v>
      </c>
    </row>
    <row r="699" spans="1:21" hidden="1" x14ac:dyDescent="0.25">
      <c r="A699" t="s">
        <v>33</v>
      </c>
      <c r="B699">
        <v>500</v>
      </c>
      <c r="C699">
        <v>105</v>
      </c>
      <c r="D699">
        <v>4</v>
      </c>
      <c r="E699">
        <v>0.16101199999999999</v>
      </c>
      <c r="F699">
        <v>92.2</v>
      </c>
      <c r="G699">
        <v>45</v>
      </c>
      <c r="H699">
        <v>0.48806941431670281</v>
      </c>
      <c r="I699">
        <v>97.777799999999999</v>
      </c>
      <c r="J699">
        <v>2.2222</v>
      </c>
      <c r="K699">
        <v>95.238100000000003</v>
      </c>
      <c r="L699">
        <v>95</v>
      </c>
      <c r="M699">
        <v>100</v>
      </c>
      <c r="N699">
        <v>1933.1775600000001</v>
      </c>
      <c r="O699">
        <v>256.3</v>
      </c>
      <c r="P699">
        <v>1676.6</v>
      </c>
      <c r="Q699">
        <v>0.27755999999999997</v>
      </c>
      <c r="R699">
        <v>126.14626699999999</v>
      </c>
      <c r="S699">
        <v>100</v>
      </c>
      <c r="T699">
        <v>0.95</v>
      </c>
      <c r="U699" t="s">
        <v>17</v>
      </c>
    </row>
    <row r="700" spans="1:21" hidden="1" x14ac:dyDescent="0.25">
      <c r="A700" t="s">
        <v>33</v>
      </c>
      <c r="B700">
        <v>500</v>
      </c>
      <c r="C700">
        <v>105</v>
      </c>
      <c r="D700">
        <v>4</v>
      </c>
      <c r="E700">
        <v>0.16075500000000001</v>
      </c>
      <c r="F700">
        <v>92.2</v>
      </c>
      <c r="G700">
        <v>45</v>
      </c>
      <c r="H700">
        <v>0.48806941431670281</v>
      </c>
      <c r="I700">
        <v>97.777799999999999</v>
      </c>
      <c r="J700">
        <v>2.2222</v>
      </c>
      <c r="K700">
        <v>95.238100000000003</v>
      </c>
      <c r="L700">
        <v>95</v>
      </c>
      <c r="M700">
        <v>100</v>
      </c>
      <c r="N700">
        <v>1933.1775600000001</v>
      </c>
      <c r="O700">
        <v>256.3</v>
      </c>
      <c r="P700">
        <v>1676.6</v>
      </c>
      <c r="Q700">
        <v>0.27755999999999997</v>
      </c>
      <c r="R700">
        <v>126.117627</v>
      </c>
      <c r="S700">
        <v>100</v>
      </c>
      <c r="T700">
        <v>0.95</v>
      </c>
      <c r="U700" t="s">
        <v>17</v>
      </c>
    </row>
    <row r="701" spans="1:21" hidden="1" x14ac:dyDescent="0.25">
      <c r="A701" t="s">
        <v>33</v>
      </c>
      <c r="B701">
        <v>500</v>
      </c>
      <c r="C701">
        <v>105</v>
      </c>
      <c r="D701">
        <v>4</v>
      </c>
      <c r="E701">
        <v>0.16151199999999999</v>
      </c>
      <c r="F701">
        <v>92.2</v>
      </c>
      <c r="G701">
        <v>45</v>
      </c>
      <c r="H701">
        <v>0.48806941431670281</v>
      </c>
      <c r="I701">
        <v>97.777799999999999</v>
      </c>
      <c r="J701">
        <v>2.2222</v>
      </c>
      <c r="K701">
        <v>95.238100000000003</v>
      </c>
      <c r="L701">
        <v>95</v>
      </c>
      <c r="M701">
        <v>100</v>
      </c>
      <c r="N701">
        <v>1933.1775600000001</v>
      </c>
      <c r="O701">
        <v>256.3</v>
      </c>
      <c r="P701">
        <v>1676.6</v>
      </c>
      <c r="Q701">
        <v>0.27755999999999997</v>
      </c>
      <c r="R701">
        <v>126.117627</v>
      </c>
      <c r="S701">
        <v>100</v>
      </c>
      <c r="T701">
        <v>0.95</v>
      </c>
      <c r="U701" t="s">
        <v>17</v>
      </c>
    </row>
    <row r="702" spans="1:21" hidden="1" x14ac:dyDescent="0.25">
      <c r="A702" t="s">
        <v>33</v>
      </c>
      <c r="B702">
        <v>500</v>
      </c>
      <c r="C702">
        <v>105</v>
      </c>
      <c r="D702">
        <v>4</v>
      </c>
      <c r="E702">
        <v>0.16014500000000001</v>
      </c>
      <c r="F702">
        <v>92.2</v>
      </c>
      <c r="G702">
        <v>45</v>
      </c>
      <c r="H702">
        <v>0.48806941431670281</v>
      </c>
      <c r="I702">
        <v>97.777799999999999</v>
      </c>
      <c r="J702">
        <v>2.2222</v>
      </c>
      <c r="K702">
        <v>95.238100000000003</v>
      </c>
      <c r="L702">
        <v>95</v>
      </c>
      <c r="M702">
        <v>100</v>
      </c>
      <c r="N702">
        <v>1933.1775600000001</v>
      </c>
      <c r="O702">
        <v>256.3</v>
      </c>
      <c r="P702">
        <v>1676.6</v>
      </c>
      <c r="Q702">
        <v>0.27755999999999997</v>
      </c>
      <c r="R702">
        <v>126.117627</v>
      </c>
      <c r="S702">
        <v>100</v>
      </c>
      <c r="T702">
        <v>0.95</v>
      </c>
      <c r="U702" t="s">
        <v>17</v>
      </c>
    </row>
    <row r="703" spans="1:21" hidden="1" x14ac:dyDescent="0.25">
      <c r="A703" t="s">
        <v>33</v>
      </c>
      <c r="B703">
        <v>500</v>
      </c>
      <c r="C703">
        <v>105</v>
      </c>
      <c r="D703">
        <v>4</v>
      </c>
      <c r="E703">
        <v>0.161409</v>
      </c>
      <c r="F703">
        <v>92.2</v>
      </c>
      <c r="G703">
        <v>45</v>
      </c>
      <c r="H703">
        <v>0.48806941431670281</v>
      </c>
      <c r="I703">
        <v>97.777799999999999</v>
      </c>
      <c r="J703">
        <v>2.2222</v>
      </c>
      <c r="K703">
        <v>95.238100000000003</v>
      </c>
      <c r="L703">
        <v>95</v>
      </c>
      <c r="M703">
        <v>100</v>
      </c>
      <c r="N703">
        <v>1933.17812</v>
      </c>
      <c r="O703">
        <v>256.3</v>
      </c>
      <c r="P703">
        <v>1676.6</v>
      </c>
      <c r="Q703">
        <v>0.27811999999999998</v>
      </c>
      <c r="R703">
        <v>126.069828</v>
      </c>
      <c r="S703">
        <v>100</v>
      </c>
      <c r="T703">
        <v>0.95</v>
      </c>
      <c r="U703" t="s">
        <v>17</v>
      </c>
    </row>
    <row r="704" spans="1:21" hidden="1" x14ac:dyDescent="0.25">
      <c r="A704" t="s">
        <v>33</v>
      </c>
      <c r="B704">
        <v>500</v>
      </c>
      <c r="C704">
        <v>105</v>
      </c>
      <c r="D704">
        <v>4</v>
      </c>
      <c r="E704">
        <v>0.16005800000000001</v>
      </c>
      <c r="F704">
        <v>92.2</v>
      </c>
      <c r="G704">
        <v>45</v>
      </c>
      <c r="H704">
        <v>0.48806941431670281</v>
      </c>
      <c r="I704">
        <v>97.777799999999999</v>
      </c>
      <c r="J704">
        <v>2.2222</v>
      </c>
      <c r="K704">
        <v>95.238100000000003</v>
      </c>
      <c r="L704">
        <v>95</v>
      </c>
      <c r="M704">
        <v>100</v>
      </c>
      <c r="N704">
        <v>1933.17812</v>
      </c>
      <c r="O704">
        <v>256.3</v>
      </c>
      <c r="P704">
        <v>1676.6</v>
      </c>
      <c r="Q704">
        <v>0.27811999999999998</v>
      </c>
      <c r="R704">
        <v>126.069828</v>
      </c>
      <c r="S704">
        <v>100</v>
      </c>
      <c r="T704">
        <v>0.95</v>
      </c>
      <c r="U704" t="s">
        <v>17</v>
      </c>
    </row>
    <row r="705" spans="1:21" hidden="1" x14ac:dyDescent="0.25">
      <c r="A705" t="s">
        <v>33</v>
      </c>
      <c r="B705">
        <v>500</v>
      </c>
      <c r="C705">
        <v>105</v>
      </c>
      <c r="D705">
        <v>4</v>
      </c>
      <c r="E705">
        <v>0.16131599999999999</v>
      </c>
      <c r="F705">
        <v>92.2</v>
      </c>
      <c r="G705">
        <v>45</v>
      </c>
      <c r="H705">
        <v>0.48806941431670281</v>
      </c>
      <c r="I705">
        <v>97.777799999999999</v>
      </c>
      <c r="J705">
        <v>2.2222</v>
      </c>
      <c r="K705">
        <v>95.238100000000003</v>
      </c>
      <c r="L705">
        <v>95</v>
      </c>
      <c r="M705">
        <v>100</v>
      </c>
      <c r="N705">
        <v>1933.17812</v>
      </c>
      <c r="O705">
        <v>256.3</v>
      </c>
      <c r="P705">
        <v>1676.6</v>
      </c>
      <c r="Q705">
        <v>0.27811999999999998</v>
      </c>
      <c r="R705">
        <v>126.069828</v>
      </c>
      <c r="S705">
        <v>100</v>
      </c>
      <c r="T705">
        <v>0.95</v>
      </c>
      <c r="U705" t="s">
        <v>17</v>
      </c>
    </row>
    <row r="706" spans="1:21" hidden="1" x14ac:dyDescent="0.25">
      <c r="A706" t="s">
        <v>33</v>
      </c>
      <c r="B706">
        <v>500</v>
      </c>
      <c r="C706">
        <v>105</v>
      </c>
      <c r="D706">
        <v>4</v>
      </c>
      <c r="E706">
        <v>0.16073899999999999</v>
      </c>
      <c r="F706">
        <v>92.2</v>
      </c>
      <c r="G706">
        <v>45</v>
      </c>
      <c r="H706">
        <v>0.48806941431670281</v>
      </c>
      <c r="I706">
        <v>97.777799999999999</v>
      </c>
      <c r="J706">
        <v>2.2222</v>
      </c>
      <c r="K706">
        <v>95.238100000000003</v>
      </c>
      <c r="L706">
        <v>95</v>
      </c>
      <c r="M706">
        <v>100</v>
      </c>
      <c r="N706">
        <v>1933.17812</v>
      </c>
      <c r="O706">
        <v>256.3</v>
      </c>
      <c r="P706">
        <v>1676.6</v>
      </c>
      <c r="Q706">
        <v>0.27811999999999998</v>
      </c>
      <c r="R706">
        <v>126.069828</v>
      </c>
      <c r="S706">
        <v>100</v>
      </c>
      <c r="T706">
        <v>0.95</v>
      </c>
      <c r="U706" t="s">
        <v>17</v>
      </c>
    </row>
    <row r="707" spans="1:21" hidden="1" x14ac:dyDescent="0.25">
      <c r="A707" t="s">
        <v>33</v>
      </c>
      <c r="B707">
        <v>500</v>
      </c>
      <c r="C707">
        <v>105</v>
      </c>
      <c r="D707">
        <v>4</v>
      </c>
      <c r="E707">
        <v>0.16018399999999999</v>
      </c>
      <c r="F707">
        <v>92.2</v>
      </c>
      <c r="G707">
        <v>45</v>
      </c>
      <c r="H707">
        <v>0.48806941431670281</v>
      </c>
      <c r="I707">
        <v>97.777799999999999</v>
      </c>
      <c r="J707">
        <v>2.2222</v>
      </c>
      <c r="K707">
        <v>95.238100000000003</v>
      </c>
      <c r="L707">
        <v>95</v>
      </c>
      <c r="M707">
        <v>100</v>
      </c>
      <c r="N707">
        <v>1933.17812</v>
      </c>
      <c r="O707">
        <v>256.3</v>
      </c>
      <c r="P707">
        <v>1676.6</v>
      </c>
      <c r="Q707">
        <v>0.27811999999999998</v>
      </c>
      <c r="R707">
        <v>126.069828</v>
      </c>
      <c r="S707">
        <v>100</v>
      </c>
      <c r="T707">
        <v>0.95</v>
      </c>
      <c r="U707" t="s">
        <v>17</v>
      </c>
    </row>
    <row r="708" spans="1:21" hidden="1" x14ac:dyDescent="0.25">
      <c r="A708" t="s">
        <v>33</v>
      </c>
      <c r="B708">
        <v>500</v>
      </c>
      <c r="C708">
        <v>105</v>
      </c>
      <c r="D708">
        <v>4</v>
      </c>
      <c r="E708">
        <v>0.16026000000000001</v>
      </c>
      <c r="F708">
        <v>92.2</v>
      </c>
      <c r="G708">
        <v>45</v>
      </c>
      <c r="H708">
        <v>0.48806941431670281</v>
      </c>
      <c r="I708">
        <v>97.777799999999999</v>
      </c>
      <c r="J708">
        <v>2.2222</v>
      </c>
      <c r="K708">
        <v>95.238100000000003</v>
      </c>
      <c r="L708">
        <v>95</v>
      </c>
      <c r="M708">
        <v>100</v>
      </c>
      <c r="N708">
        <v>1933.17812</v>
      </c>
      <c r="O708">
        <v>256.3</v>
      </c>
      <c r="P708">
        <v>1676.6</v>
      </c>
      <c r="Q708">
        <v>0.27811999999999998</v>
      </c>
      <c r="R708">
        <v>126.069828</v>
      </c>
      <c r="S708">
        <v>100</v>
      </c>
      <c r="T708">
        <v>0.95</v>
      </c>
      <c r="U708" t="s">
        <v>17</v>
      </c>
    </row>
    <row r="709" spans="1:21" hidden="1" x14ac:dyDescent="0.25">
      <c r="A709" t="s">
        <v>33</v>
      </c>
      <c r="B709">
        <v>500</v>
      </c>
      <c r="C709">
        <v>105</v>
      </c>
      <c r="D709">
        <v>4</v>
      </c>
      <c r="E709">
        <v>0.16161900000000001</v>
      </c>
      <c r="F709">
        <v>92.2</v>
      </c>
      <c r="G709">
        <v>45</v>
      </c>
      <c r="H709">
        <v>0.48806941431670281</v>
      </c>
      <c r="I709">
        <v>97.777799999999999</v>
      </c>
      <c r="J709">
        <v>2.2222</v>
      </c>
      <c r="K709">
        <v>95.238100000000003</v>
      </c>
      <c r="L709">
        <v>95</v>
      </c>
      <c r="M709">
        <v>100</v>
      </c>
      <c r="N709">
        <v>1933.17812</v>
      </c>
      <c r="O709">
        <v>256.3</v>
      </c>
      <c r="P709">
        <v>1676.6</v>
      </c>
      <c r="Q709">
        <v>0.27811999999999998</v>
      </c>
      <c r="R709">
        <v>126.069828</v>
      </c>
      <c r="S709">
        <v>100</v>
      </c>
      <c r="T709">
        <v>0.95</v>
      </c>
      <c r="U709" t="s">
        <v>17</v>
      </c>
    </row>
    <row r="710" spans="1:21" hidden="1" x14ac:dyDescent="0.25">
      <c r="A710" t="s">
        <v>33</v>
      </c>
      <c r="B710">
        <v>500</v>
      </c>
      <c r="C710">
        <v>105</v>
      </c>
      <c r="D710">
        <v>4</v>
      </c>
      <c r="E710">
        <v>0.162943</v>
      </c>
      <c r="F710">
        <v>92.2</v>
      </c>
      <c r="G710">
        <v>45</v>
      </c>
      <c r="H710">
        <v>0.48806941431670281</v>
      </c>
      <c r="I710">
        <v>97.777799999999999</v>
      </c>
      <c r="J710">
        <v>2.2222</v>
      </c>
      <c r="K710">
        <v>95.238100000000003</v>
      </c>
      <c r="L710">
        <v>95</v>
      </c>
      <c r="M710">
        <v>100</v>
      </c>
      <c r="N710">
        <v>1933.17812</v>
      </c>
      <c r="O710">
        <v>256.3</v>
      </c>
      <c r="P710">
        <v>1676.6</v>
      </c>
      <c r="Q710">
        <v>0.27811999999999998</v>
      </c>
      <c r="R710">
        <v>126.069828</v>
      </c>
      <c r="S710">
        <v>100</v>
      </c>
      <c r="T710">
        <v>0.95</v>
      </c>
      <c r="U710" t="s">
        <v>17</v>
      </c>
    </row>
    <row r="711" spans="1:21" hidden="1" x14ac:dyDescent="0.25">
      <c r="A711" t="s">
        <v>33</v>
      </c>
      <c r="B711">
        <v>500</v>
      </c>
      <c r="C711">
        <v>105</v>
      </c>
      <c r="D711">
        <v>4</v>
      </c>
      <c r="E711">
        <v>0.16118499999999999</v>
      </c>
      <c r="F711">
        <v>92.2</v>
      </c>
      <c r="G711">
        <v>45</v>
      </c>
      <c r="H711">
        <v>0.48806941431670281</v>
      </c>
      <c r="I711">
        <v>97.777799999999999</v>
      </c>
      <c r="J711">
        <v>2.2222</v>
      </c>
      <c r="K711">
        <v>95.238100000000003</v>
      </c>
      <c r="L711">
        <v>95</v>
      </c>
      <c r="M711">
        <v>100</v>
      </c>
      <c r="N711">
        <v>1933.17812</v>
      </c>
      <c r="O711">
        <v>256.3</v>
      </c>
      <c r="P711">
        <v>1676.6</v>
      </c>
      <c r="Q711">
        <v>0.27811999999999998</v>
      </c>
      <c r="R711">
        <v>126.069828</v>
      </c>
      <c r="S711">
        <v>100</v>
      </c>
      <c r="T711">
        <v>0.95</v>
      </c>
      <c r="U711" t="s">
        <v>17</v>
      </c>
    </row>
    <row r="712" spans="1:21" hidden="1" x14ac:dyDescent="0.25">
      <c r="A712" t="s">
        <v>33</v>
      </c>
      <c r="B712">
        <v>500</v>
      </c>
      <c r="C712">
        <v>105</v>
      </c>
      <c r="D712">
        <v>4</v>
      </c>
      <c r="E712">
        <v>0.161746</v>
      </c>
      <c r="F712">
        <v>92.2</v>
      </c>
      <c r="G712">
        <v>45</v>
      </c>
      <c r="H712">
        <v>0.48806941431670281</v>
      </c>
      <c r="I712">
        <v>97.777799999999999</v>
      </c>
      <c r="J712">
        <v>2.2222</v>
      </c>
      <c r="K712">
        <v>95.238100000000003</v>
      </c>
      <c r="L712">
        <v>95</v>
      </c>
      <c r="M712">
        <v>100</v>
      </c>
      <c r="N712">
        <v>1933.17812</v>
      </c>
      <c r="O712">
        <v>256.3</v>
      </c>
      <c r="P712">
        <v>1676.6</v>
      </c>
      <c r="Q712">
        <v>0.27811999999999998</v>
      </c>
      <c r="R712">
        <v>126.069828</v>
      </c>
      <c r="S712">
        <v>100</v>
      </c>
      <c r="T712">
        <v>0.95</v>
      </c>
      <c r="U712" t="s">
        <v>17</v>
      </c>
    </row>
    <row r="713" spans="1:21" hidden="1" x14ac:dyDescent="0.25">
      <c r="A713" t="s">
        <v>33</v>
      </c>
      <c r="B713">
        <v>500</v>
      </c>
      <c r="C713">
        <v>105</v>
      </c>
      <c r="D713">
        <v>4</v>
      </c>
      <c r="E713">
        <v>0.16116900000000001</v>
      </c>
      <c r="F713">
        <v>92.2</v>
      </c>
      <c r="G713">
        <v>45</v>
      </c>
      <c r="H713">
        <v>0.48806941431670281</v>
      </c>
      <c r="I713">
        <v>97.777799999999999</v>
      </c>
      <c r="J713">
        <v>2.2222</v>
      </c>
      <c r="K713">
        <v>95.238100000000003</v>
      </c>
      <c r="L713">
        <v>95</v>
      </c>
      <c r="M713">
        <v>100</v>
      </c>
      <c r="N713">
        <v>1933.17812</v>
      </c>
      <c r="O713">
        <v>256.3</v>
      </c>
      <c r="P713">
        <v>1676.6</v>
      </c>
      <c r="Q713">
        <v>0.27811999999999998</v>
      </c>
      <c r="R713">
        <v>126.069828</v>
      </c>
      <c r="S713">
        <v>100</v>
      </c>
      <c r="T713">
        <v>0.95</v>
      </c>
      <c r="U713" t="s">
        <v>17</v>
      </c>
    </row>
    <row r="714" spans="1:21" hidden="1" x14ac:dyDescent="0.25">
      <c r="A714" t="s">
        <v>33</v>
      </c>
      <c r="B714">
        <v>500</v>
      </c>
      <c r="C714">
        <v>105</v>
      </c>
      <c r="D714">
        <v>4</v>
      </c>
      <c r="E714">
        <v>0.161909</v>
      </c>
      <c r="F714">
        <v>92.2</v>
      </c>
      <c r="G714">
        <v>45</v>
      </c>
      <c r="H714">
        <v>0.48806941431670281</v>
      </c>
      <c r="I714">
        <v>97.777799999999999</v>
      </c>
      <c r="J714">
        <v>2.2222</v>
      </c>
      <c r="K714">
        <v>95.238100000000003</v>
      </c>
      <c r="L714">
        <v>95</v>
      </c>
      <c r="M714">
        <v>100</v>
      </c>
      <c r="N714">
        <v>1933.17812</v>
      </c>
      <c r="O714">
        <v>256.3</v>
      </c>
      <c r="P714">
        <v>1676.6</v>
      </c>
      <c r="Q714">
        <v>0.27811999999999998</v>
      </c>
      <c r="R714">
        <v>126.069828</v>
      </c>
      <c r="S714">
        <v>100</v>
      </c>
      <c r="T714">
        <v>0.95</v>
      </c>
      <c r="U714" t="s">
        <v>17</v>
      </c>
    </row>
    <row r="715" spans="1:21" hidden="1" x14ac:dyDescent="0.25">
      <c r="A715" t="s">
        <v>33</v>
      </c>
      <c r="B715">
        <v>500</v>
      </c>
      <c r="C715">
        <v>105</v>
      </c>
      <c r="D715">
        <v>4</v>
      </c>
      <c r="E715">
        <v>0.16143299999999999</v>
      </c>
      <c r="F715">
        <v>92.2</v>
      </c>
      <c r="G715">
        <v>45</v>
      </c>
      <c r="H715">
        <v>0.48806941431670281</v>
      </c>
      <c r="I715">
        <v>97.777799999999999</v>
      </c>
      <c r="J715">
        <v>2.2222</v>
      </c>
      <c r="K715">
        <v>95.238100000000003</v>
      </c>
      <c r="L715">
        <v>95</v>
      </c>
      <c r="M715">
        <v>100</v>
      </c>
      <c r="N715">
        <v>1933.17812</v>
      </c>
      <c r="O715">
        <v>256.3</v>
      </c>
      <c r="P715">
        <v>1676.6</v>
      </c>
      <c r="Q715">
        <v>0.27811999999999998</v>
      </c>
      <c r="R715">
        <v>126.069828</v>
      </c>
      <c r="S715">
        <v>100</v>
      </c>
      <c r="T715">
        <v>0.95</v>
      </c>
      <c r="U715" t="s">
        <v>17</v>
      </c>
    </row>
    <row r="716" spans="1:21" hidden="1" x14ac:dyDescent="0.25">
      <c r="A716" t="s">
        <v>33</v>
      </c>
      <c r="B716">
        <v>500</v>
      </c>
      <c r="C716">
        <v>105</v>
      </c>
      <c r="D716">
        <v>4</v>
      </c>
      <c r="E716">
        <v>0.16241700000000001</v>
      </c>
      <c r="F716">
        <v>92.2</v>
      </c>
      <c r="G716">
        <v>45</v>
      </c>
      <c r="H716">
        <v>0.48806941431670281</v>
      </c>
      <c r="I716">
        <v>97.777799999999999</v>
      </c>
      <c r="J716">
        <v>2.2222</v>
      </c>
      <c r="K716">
        <v>95.238100000000003</v>
      </c>
      <c r="L716">
        <v>95</v>
      </c>
      <c r="M716">
        <v>100</v>
      </c>
      <c r="N716">
        <v>1933.17812</v>
      </c>
      <c r="O716">
        <v>256.3</v>
      </c>
      <c r="P716">
        <v>1676.6</v>
      </c>
      <c r="Q716">
        <v>0.27811999999999998</v>
      </c>
      <c r="R716">
        <v>126.069828</v>
      </c>
      <c r="S716">
        <v>100</v>
      </c>
      <c r="T716">
        <v>0.95</v>
      </c>
      <c r="U716" t="s">
        <v>17</v>
      </c>
    </row>
    <row r="717" spans="1:21" hidden="1" x14ac:dyDescent="0.25">
      <c r="A717" t="s">
        <v>33</v>
      </c>
      <c r="B717">
        <v>500</v>
      </c>
      <c r="C717">
        <v>105</v>
      </c>
      <c r="D717">
        <v>4</v>
      </c>
      <c r="E717">
        <v>0.160383</v>
      </c>
      <c r="F717">
        <v>92.2</v>
      </c>
      <c r="G717">
        <v>45</v>
      </c>
      <c r="H717">
        <v>0.48806941431670281</v>
      </c>
      <c r="I717">
        <v>97.777799999999999</v>
      </c>
      <c r="J717">
        <v>2.2222</v>
      </c>
      <c r="K717">
        <v>95.238100000000003</v>
      </c>
      <c r="L717">
        <v>95</v>
      </c>
      <c r="M717">
        <v>100</v>
      </c>
      <c r="N717">
        <v>1933.17812</v>
      </c>
      <c r="O717">
        <v>256.3</v>
      </c>
      <c r="P717">
        <v>1676.6</v>
      </c>
      <c r="Q717">
        <v>0.27811999999999998</v>
      </c>
      <c r="R717">
        <v>126.069828</v>
      </c>
      <c r="S717">
        <v>100</v>
      </c>
      <c r="T717">
        <v>0.95</v>
      </c>
      <c r="U717" t="s">
        <v>17</v>
      </c>
    </row>
    <row r="718" spans="1:21" hidden="1" x14ac:dyDescent="0.25">
      <c r="A718" t="s">
        <v>33</v>
      </c>
      <c r="B718">
        <v>500</v>
      </c>
      <c r="C718">
        <v>105</v>
      </c>
      <c r="D718">
        <v>4</v>
      </c>
      <c r="E718">
        <v>0.15881200000000001</v>
      </c>
      <c r="F718">
        <v>92.2</v>
      </c>
      <c r="G718">
        <v>45</v>
      </c>
      <c r="H718">
        <v>0.48806941431670281</v>
      </c>
      <c r="I718">
        <v>97.777799999999999</v>
      </c>
      <c r="J718">
        <v>2.2222</v>
      </c>
      <c r="K718">
        <v>95.238100000000003</v>
      </c>
      <c r="L718">
        <v>95</v>
      </c>
      <c r="M718">
        <v>100</v>
      </c>
      <c r="N718">
        <v>1933.17812</v>
      </c>
      <c r="O718">
        <v>256.3</v>
      </c>
      <c r="P718">
        <v>1676.6</v>
      </c>
      <c r="Q718">
        <v>0.27811999999999998</v>
      </c>
      <c r="R718">
        <v>126.069828</v>
      </c>
      <c r="S718">
        <v>100</v>
      </c>
      <c r="T718">
        <v>0.95</v>
      </c>
      <c r="U718" t="s">
        <v>17</v>
      </c>
    </row>
    <row r="719" spans="1:21" hidden="1" x14ac:dyDescent="0.25">
      <c r="A719" t="s">
        <v>33</v>
      </c>
      <c r="B719">
        <v>500</v>
      </c>
      <c r="C719">
        <v>105</v>
      </c>
      <c r="D719">
        <v>4</v>
      </c>
      <c r="E719">
        <v>0.16168099999999999</v>
      </c>
      <c r="F719">
        <v>92.2</v>
      </c>
      <c r="G719">
        <v>45</v>
      </c>
      <c r="H719">
        <v>0.48806941431670281</v>
      </c>
      <c r="I719">
        <v>97.777799999999999</v>
      </c>
      <c r="J719">
        <v>2.2222</v>
      </c>
      <c r="K719">
        <v>95.238100000000003</v>
      </c>
      <c r="L719">
        <v>95</v>
      </c>
      <c r="M719">
        <v>100</v>
      </c>
      <c r="N719">
        <v>1933.17812</v>
      </c>
      <c r="O719">
        <v>256.3</v>
      </c>
      <c r="P719">
        <v>1676.6</v>
      </c>
      <c r="Q719">
        <v>0.27811999999999998</v>
      </c>
      <c r="R719">
        <v>126.069828</v>
      </c>
      <c r="S719">
        <v>100</v>
      </c>
      <c r="T719">
        <v>0.95</v>
      </c>
      <c r="U719" t="s">
        <v>17</v>
      </c>
    </row>
    <row r="720" spans="1:21" hidden="1" x14ac:dyDescent="0.25">
      <c r="A720" t="s">
        <v>33</v>
      </c>
      <c r="B720">
        <v>500</v>
      </c>
      <c r="C720">
        <v>105</v>
      </c>
      <c r="D720">
        <v>4</v>
      </c>
      <c r="E720">
        <v>0.16016</v>
      </c>
      <c r="F720">
        <v>92.2</v>
      </c>
      <c r="G720">
        <v>45</v>
      </c>
      <c r="H720">
        <v>0.48806941431670281</v>
      </c>
      <c r="I720">
        <v>97.777799999999999</v>
      </c>
      <c r="J720">
        <v>2.2222</v>
      </c>
      <c r="K720">
        <v>95.238100000000003</v>
      </c>
      <c r="L720">
        <v>95</v>
      </c>
      <c r="M720">
        <v>100</v>
      </c>
      <c r="N720">
        <v>1933.17812</v>
      </c>
      <c r="O720">
        <v>256.3</v>
      </c>
      <c r="P720">
        <v>1676.6</v>
      </c>
      <c r="Q720">
        <v>0.27811999999999998</v>
      </c>
      <c r="R720">
        <v>126.069828</v>
      </c>
      <c r="S720">
        <v>100</v>
      </c>
      <c r="T720">
        <v>0.95</v>
      </c>
      <c r="U720" t="s">
        <v>17</v>
      </c>
    </row>
    <row r="721" spans="1:21" hidden="1" x14ac:dyDescent="0.25">
      <c r="A721" t="s">
        <v>33</v>
      </c>
      <c r="B721">
        <v>500</v>
      </c>
      <c r="C721">
        <v>105</v>
      </c>
      <c r="D721">
        <v>4</v>
      </c>
      <c r="E721">
        <v>0.159804</v>
      </c>
      <c r="F721">
        <v>92.2</v>
      </c>
      <c r="G721">
        <v>45</v>
      </c>
      <c r="H721">
        <v>0.48806941431670281</v>
      </c>
      <c r="I721">
        <v>97.777799999999999</v>
      </c>
      <c r="J721">
        <v>2.2222</v>
      </c>
      <c r="K721">
        <v>95.238100000000003</v>
      </c>
      <c r="L721">
        <v>95</v>
      </c>
      <c r="M721">
        <v>100</v>
      </c>
      <c r="N721">
        <v>1933.17812</v>
      </c>
      <c r="O721">
        <v>256.3</v>
      </c>
      <c r="P721">
        <v>1676.6</v>
      </c>
      <c r="Q721">
        <v>0.27811999999999998</v>
      </c>
      <c r="R721">
        <v>126.069828</v>
      </c>
      <c r="S721">
        <v>100</v>
      </c>
      <c r="T721">
        <v>0.95</v>
      </c>
      <c r="U721" t="s">
        <v>17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C2A35-C0E0-4F9D-A397-DFADCCA9C48E}">
  <sheetPr codeName="Planilha3"/>
  <dimension ref="A1:U4"/>
  <sheetViews>
    <sheetView zoomScale="130" zoomScaleNormal="130" workbookViewId="0">
      <selection activeCell="H9" sqref="H9"/>
    </sheetView>
  </sheetViews>
  <sheetFormatPr defaultRowHeight="15" x14ac:dyDescent="0.25"/>
  <cols>
    <col min="1" max="1" width="25.85546875" bestFit="1" customWidth="1"/>
    <col min="2" max="2" width="10.5703125" bestFit="1" customWidth="1"/>
    <col min="3" max="3" width="10.140625" bestFit="1" customWidth="1"/>
    <col min="4" max="4" width="7.5703125" bestFit="1" customWidth="1"/>
    <col min="5" max="5" width="13" bestFit="1" customWidth="1"/>
    <col min="6" max="6" width="12.5703125" bestFit="1" customWidth="1"/>
    <col min="7" max="7" width="11.140625" bestFit="1" customWidth="1"/>
    <col min="8" max="8" width="15.140625" bestFit="1" customWidth="1"/>
    <col min="9" max="9" width="13.7109375" bestFit="1" customWidth="1"/>
    <col min="10" max="10" width="14" bestFit="1" customWidth="1"/>
    <col min="11" max="11" width="10.85546875" bestFit="1" customWidth="1"/>
    <col min="12" max="12" width="11.7109375" bestFit="1" customWidth="1"/>
    <col min="13" max="13" width="12" bestFit="1" customWidth="1"/>
    <col min="14" max="14" width="12.5703125" bestFit="1" customWidth="1"/>
    <col min="15" max="15" width="17.85546875" bestFit="1" customWidth="1"/>
    <col min="16" max="16" width="16" bestFit="1" customWidth="1"/>
    <col min="17" max="17" width="9.85546875" bestFit="1" customWidth="1"/>
    <col min="18" max="18" width="12.85546875" bestFit="1" customWidth="1"/>
    <col min="19" max="19" width="9" bestFit="1" customWidth="1"/>
    <col min="20" max="20" width="13" bestFit="1" customWidth="1"/>
    <col min="21" max="21" width="9.85546875" bestFit="1" customWidth="1"/>
    <col min="22" max="22" width="9" customWidth="1"/>
    <col min="23" max="23" width="8.5703125" bestFit="1" customWidth="1"/>
    <col min="24" max="24" width="9" bestFit="1" customWidth="1"/>
    <col min="25" max="25" width="11.5703125" bestFit="1" customWidth="1"/>
    <col min="26" max="26" width="8.5703125" bestFit="1" customWidth="1"/>
  </cols>
  <sheetData>
    <row r="1" spans="1:21" x14ac:dyDescent="0.25">
      <c r="A1" t="s">
        <v>52</v>
      </c>
      <c r="B1" t="s">
        <v>0</v>
      </c>
      <c r="C1" t="s">
        <v>50</v>
      </c>
      <c r="D1" t="s">
        <v>51</v>
      </c>
      <c r="E1" t="s">
        <v>1</v>
      </c>
      <c r="F1" t="s">
        <v>2</v>
      </c>
      <c r="G1" t="s">
        <v>3</v>
      </c>
      <c r="H1" t="s">
        <v>36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19</v>
      </c>
      <c r="T1" t="s">
        <v>20</v>
      </c>
      <c r="U1" t="s">
        <v>21</v>
      </c>
    </row>
    <row r="2" spans="1:21" x14ac:dyDescent="0.25">
      <c r="A2" t="s">
        <v>32</v>
      </c>
      <c r="B2">
        <v>300</v>
      </c>
      <c r="C2">
        <v>105</v>
      </c>
      <c r="D2">
        <v>4</v>
      </c>
      <c r="E2" s="28">
        <v>1.1519140000000001</v>
      </c>
      <c r="F2" s="28">
        <v>94.333299999999994</v>
      </c>
      <c r="G2" s="28">
        <v>94</v>
      </c>
      <c r="H2" s="28">
        <v>0.99646678320381044</v>
      </c>
      <c r="I2" s="28">
        <v>68.794300000000007</v>
      </c>
      <c r="J2" s="28">
        <v>31.2057</v>
      </c>
      <c r="K2" s="28">
        <v>77.142899999999997</v>
      </c>
      <c r="L2" s="28">
        <v>76</v>
      </c>
      <c r="M2" s="28">
        <v>100</v>
      </c>
      <c r="N2" s="28">
        <v>117.65951</v>
      </c>
      <c r="O2" s="28">
        <v>107.5</v>
      </c>
      <c r="P2" s="28">
        <v>9.9</v>
      </c>
      <c r="Q2" s="28">
        <v>0.25951000000000002</v>
      </c>
      <c r="R2" s="31">
        <v>158.227225</v>
      </c>
      <c r="S2" t="s">
        <v>23</v>
      </c>
      <c r="T2" s="28">
        <v>117.65951</v>
      </c>
      <c r="U2" s="28">
        <v>3.1000000000000001E-5</v>
      </c>
    </row>
    <row r="3" spans="1:21" x14ac:dyDescent="0.25">
      <c r="A3" t="s">
        <v>32</v>
      </c>
      <c r="B3">
        <v>400</v>
      </c>
      <c r="C3">
        <v>105</v>
      </c>
      <c r="D3">
        <v>4</v>
      </c>
      <c r="E3" s="28">
        <v>0.85419299999999998</v>
      </c>
      <c r="F3" s="28">
        <v>92.25</v>
      </c>
      <c r="G3" s="28">
        <v>75.5</v>
      </c>
      <c r="H3" s="28">
        <v>0.81842818428184283</v>
      </c>
      <c r="I3" s="28">
        <v>70.198700000000002</v>
      </c>
      <c r="J3" s="28">
        <v>29.801300000000001</v>
      </c>
      <c r="K3" s="28">
        <v>85.714299999999994</v>
      </c>
      <c r="L3" s="28">
        <v>85</v>
      </c>
      <c r="M3" s="28">
        <v>100</v>
      </c>
      <c r="N3" s="28">
        <v>700.06790000000001</v>
      </c>
      <c r="O3" s="28">
        <v>208.1</v>
      </c>
      <c r="P3" s="28">
        <v>491.7</v>
      </c>
      <c r="Q3" s="28">
        <v>0.26790000000000003</v>
      </c>
      <c r="R3" s="28">
        <v>164.012844</v>
      </c>
      <c r="S3" t="s">
        <v>23</v>
      </c>
      <c r="T3" s="28">
        <v>700.06790000000001</v>
      </c>
      <c r="U3" s="28">
        <v>0</v>
      </c>
    </row>
    <row r="4" spans="1:21" x14ac:dyDescent="0.25">
      <c r="A4" t="s">
        <v>32</v>
      </c>
      <c r="B4">
        <v>500</v>
      </c>
      <c r="C4">
        <v>105</v>
      </c>
      <c r="D4">
        <v>4</v>
      </c>
      <c r="E4" s="28">
        <v>1200.032614</v>
      </c>
      <c r="F4" s="28">
        <v>92.2</v>
      </c>
      <c r="G4" s="28">
        <v>64</v>
      </c>
      <c r="H4" s="28">
        <v>0.69414316702819956</v>
      </c>
      <c r="I4" s="28">
        <v>71.875</v>
      </c>
      <c r="J4" s="28">
        <v>28.125</v>
      </c>
      <c r="K4" s="28">
        <v>94.285700000000006</v>
      </c>
      <c r="L4" s="28">
        <v>94</v>
      </c>
      <c r="M4" s="28">
        <v>100</v>
      </c>
      <c r="N4" s="28">
        <v>1291.2765899999999</v>
      </c>
      <c r="O4" s="28">
        <v>256.3</v>
      </c>
      <c r="P4" s="28">
        <v>1034.7</v>
      </c>
      <c r="Q4" s="28">
        <v>0.27659</v>
      </c>
      <c r="R4" s="28">
        <v>161.96032199999999</v>
      </c>
      <c r="S4" t="s">
        <v>22</v>
      </c>
      <c r="T4" s="28">
        <v>1291.2765899999999</v>
      </c>
      <c r="U4" s="28">
        <v>1.9319999999999999E-3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463B2-8B5E-47A4-BB24-E9A7A2570874}">
  <sheetPr codeName="Planilha4"/>
  <dimension ref="A1:K22"/>
  <sheetViews>
    <sheetView zoomScale="180" zoomScaleNormal="180" workbookViewId="0">
      <selection activeCell="D1" sqref="D1"/>
    </sheetView>
  </sheetViews>
  <sheetFormatPr defaultRowHeight="15.75" x14ac:dyDescent="0.25"/>
  <cols>
    <col min="1" max="1" width="23.85546875" style="3" bestFit="1" customWidth="1"/>
    <col min="2" max="2" width="12.42578125" style="2" bestFit="1" customWidth="1"/>
    <col min="3" max="3" width="2" style="1" bestFit="1" customWidth="1"/>
    <col min="4" max="4" width="15" style="1" bestFit="1" customWidth="1"/>
    <col min="5" max="5" width="20.7109375" style="1" customWidth="1"/>
    <col min="6" max="6" width="5" style="1" bestFit="1" customWidth="1"/>
    <col min="7" max="7" width="13.140625" style="14" bestFit="1" customWidth="1"/>
    <col min="8" max="8" width="17.42578125" style="14" bestFit="1" customWidth="1"/>
    <col min="9" max="9" width="14.85546875" style="14" bestFit="1" customWidth="1"/>
    <col min="10" max="10" width="13.5703125" style="14" bestFit="1" customWidth="1"/>
    <col min="11" max="11" width="14.42578125" style="14" bestFit="1" customWidth="1"/>
    <col min="12" max="16384" width="9.140625" style="1"/>
  </cols>
  <sheetData>
    <row r="1" spans="1:11" x14ac:dyDescent="0.25">
      <c r="A1" s="5" t="s">
        <v>24</v>
      </c>
      <c r="B1" s="4" t="s">
        <v>54</v>
      </c>
      <c r="D1" s="12" t="s">
        <v>24</v>
      </c>
      <c r="E1" s="12" t="s">
        <v>26</v>
      </c>
      <c r="F1" s="12" t="s">
        <v>48</v>
      </c>
      <c r="G1" s="12" t="s">
        <v>27</v>
      </c>
      <c r="H1" s="12" t="s">
        <v>28</v>
      </c>
      <c r="I1" s="15" t="s">
        <v>29</v>
      </c>
      <c r="J1" s="15" t="s">
        <v>30</v>
      </c>
      <c r="K1" s="15" t="s">
        <v>31</v>
      </c>
    </row>
    <row r="2" spans="1:11" x14ac:dyDescent="0.25">
      <c r="A2" s="5" t="s">
        <v>25</v>
      </c>
      <c r="B2" s="4">
        <v>99</v>
      </c>
      <c r="D2" s="1">
        <v>300</v>
      </c>
      <c r="E2" s="1" t="s">
        <v>17</v>
      </c>
      <c r="F2" s="1">
        <v>1</v>
      </c>
      <c r="G2" s="14">
        <v>122.591471</v>
      </c>
      <c r="H2" s="14">
        <v>0</v>
      </c>
      <c r="I2" s="27">
        <v>0</v>
      </c>
      <c r="J2" s="27">
        <v>122.591471</v>
      </c>
      <c r="K2" s="27">
        <v>122.591471</v>
      </c>
    </row>
    <row r="3" spans="1:11" x14ac:dyDescent="0.25">
      <c r="A3" s="5" t="s">
        <v>35</v>
      </c>
      <c r="B3" s="4" t="s">
        <v>13</v>
      </c>
      <c r="D3" s="1">
        <v>300</v>
      </c>
      <c r="E3" s="1" t="s">
        <v>32</v>
      </c>
      <c r="F3" s="1">
        <v>1</v>
      </c>
      <c r="G3" s="14">
        <v>158.227225</v>
      </c>
      <c r="H3" s="14">
        <v>0</v>
      </c>
      <c r="I3" s="27">
        <v>0</v>
      </c>
      <c r="J3" s="27">
        <v>158.227225</v>
      </c>
      <c r="K3" s="27">
        <v>158.227225</v>
      </c>
    </row>
    <row r="4" spans="1:11" x14ac:dyDescent="0.25">
      <c r="A4" s="6"/>
      <c r="B4" s="7"/>
      <c r="D4" s="1">
        <v>300</v>
      </c>
      <c r="E4" s="1" t="s">
        <v>18</v>
      </c>
      <c r="F4" s="1">
        <v>120</v>
      </c>
      <c r="G4" s="14">
        <v>150.95813385000005</v>
      </c>
      <c r="H4" s="14">
        <v>4.4535002350570894</v>
      </c>
      <c r="I4" s="27">
        <v>0.40654708976588788</v>
      </c>
      <c r="J4" s="27">
        <v>150.95813385000005</v>
      </c>
      <c r="K4" s="27">
        <v>150.95813385000005</v>
      </c>
    </row>
    <row r="5" spans="1:11" x14ac:dyDescent="0.25">
      <c r="A5" s="8"/>
      <c r="B5" s="9"/>
      <c r="D5" s="1">
        <v>300</v>
      </c>
      <c r="E5" s="1" t="s">
        <v>33</v>
      </c>
      <c r="F5" s="1">
        <v>120</v>
      </c>
      <c r="G5" s="14">
        <v>122.73169619166656</v>
      </c>
      <c r="H5" s="14">
        <v>0.12810585101177241</v>
      </c>
      <c r="I5" s="14">
        <v>1.1694410724590626E-2</v>
      </c>
      <c r="J5" s="14">
        <v>122.73169619166656</v>
      </c>
      <c r="K5" s="14">
        <v>122.73169619166656</v>
      </c>
    </row>
    <row r="6" spans="1:11" x14ac:dyDescent="0.25">
      <c r="A6" s="8"/>
      <c r="B6" s="9"/>
      <c r="D6" s="1">
        <v>300</v>
      </c>
      <c r="E6" s="1" t="s">
        <v>34</v>
      </c>
      <c r="F6" s="1">
        <v>120</v>
      </c>
      <c r="G6" s="14">
        <v>161.821334525</v>
      </c>
      <c r="H6" s="14">
        <v>1.6875456004364</v>
      </c>
      <c r="I6" s="27">
        <v>0.15405113202960269</v>
      </c>
      <c r="J6" s="27">
        <v>161.821334525</v>
      </c>
      <c r="K6" s="27">
        <v>161.821334525</v>
      </c>
    </row>
    <row r="7" spans="1:11" x14ac:dyDescent="0.25">
      <c r="A7" s="10"/>
      <c r="B7" s="11"/>
      <c r="D7" s="1">
        <v>400</v>
      </c>
      <c r="E7" s="1" t="s">
        <v>17</v>
      </c>
      <c r="F7" s="1">
        <v>1</v>
      </c>
      <c r="G7" s="14">
        <v>125.12968499999999</v>
      </c>
      <c r="H7" s="14">
        <v>0</v>
      </c>
      <c r="I7" s="27">
        <v>0</v>
      </c>
      <c r="J7" s="27">
        <v>125.12968499999999</v>
      </c>
      <c r="K7" s="27">
        <v>125.12968499999999</v>
      </c>
    </row>
    <row r="8" spans="1:11" x14ac:dyDescent="0.25">
      <c r="D8" s="1">
        <v>400</v>
      </c>
      <c r="E8" s="1" t="s">
        <v>32</v>
      </c>
      <c r="F8" s="1">
        <v>1</v>
      </c>
      <c r="G8" s="14">
        <v>164.012844</v>
      </c>
      <c r="H8" s="14">
        <v>0</v>
      </c>
      <c r="I8" s="14">
        <v>0</v>
      </c>
      <c r="J8" s="14">
        <v>164.012844</v>
      </c>
      <c r="K8" s="14">
        <v>164.012844</v>
      </c>
    </row>
    <row r="9" spans="1:11" x14ac:dyDescent="0.25">
      <c r="D9" s="1">
        <v>400</v>
      </c>
      <c r="E9" s="1" t="s">
        <v>18</v>
      </c>
      <c r="F9" s="1">
        <v>120</v>
      </c>
      <c r="G9" s="14">
        <v>154.78920818333336</v>
      </c>
      <c r="H9" s="14">
        <v>3.8179908257990554</v>
      </c>
      <c r="I9" s="27">
        <v>0.3485332832729866</v>
      </c>
      <c r="J9" s="27">
        <v>154.78920818333336</v>
      </c>
      <c r="K9" s="27">
        <v>154.78920818333336</v>
      </c>
    </row>
    <row r="10" spans="1:11" x14ac:dyDescent="0.25">
      <c r="D10" s="1">
        <v>400</v>
      </c>
      <c r="E10" s="1" t="s">
        <v>33</v>
      </c>
      <c r="F10" s="1">
        <v>120</v>
      </c>
      <c r="G10" s="14">
        <v>124.79315779166664</v>
      </c>
      <c r="H10" s="14">
        <v>0.15466324818219404</v>
      </c>
      <c r="I10" s="27">
        <v>1.4118758307734592E-2</v>
      </c>
      <c r="J10" s="27">
        <v>124.79315779166664</v>
      </c>
      <c r="K10" s="27">
        <v>124.79315779166664</v>
      </c>
    </row>
    <row r="11" spans="1:11" x14ac:dyDescent="0.25">
      <c r="D11" s="1">
        <v>400</v>
      </c>
      <c r="E11" s="1" t="s">
        <v>34</v>
      </c>
      <c r="F11" s="1">
        <v>120</v>
      </c>
      <c r="G11" s="14">
        <v>156.82294432500001</v>
      </c>
      <c r="H11" s="14">
        <v>1.7200519884351348</v>
      </c>
      <c r="I11" s="27">
        <v>0.15701854569125642</v>
      </c>
      <c r="J11" s="27">
        <v>156.82294432500001</v>
      </c>
      <c r="K11" s="27">
        <v>156.82294432500001</v>
      </c>
    </row>
    <row r="12" spans="1:11" x14ac:dyDescent="0.25">
      <c r="D12" s="1">
        <v>500</v>
      </c>
      <c r="E12" s="1" t="s">
        <v>17</v>
      </c>
      <c r="F12" s="1">
        <v>1</v>
      </c>
      <c r="G12" s="14">
        <v>126.069828</v>
      </c>
      <c r="H12" s="14">
        <v>0</v>
      </c>
      <c r="I12" s="14">
        <v>0</v>
      </c>
      <c r="J12" s="14">
        <v>126.069828</v>
      </c>
      <c r="K12" s="14">
        <v>126.069828</v>
      </c>
    </row>
    <row r="13" spans="1:11" x14ac:dyDescent="0.25">
      <c r="D13" s="1">
        <v>500</v>
      </c>
      <c r="E13" s="1" t="s">
        <v>32</v>
      </c>
      <c r="F13" s="1">
        <v>1</v>
      </c>
      <c r="G13" s="14">
        <v>161.96032199999999</v>
      </c>
      <c r="H13" s="14">
        <v>0</v>
      </c>
      <c r="I13" s="27">
        <v>0</v>
      </c>
      <c r="J13" s="27">
        <v>161.96032199999999</v>
      </c>
      <c r="K13" s="27">
        <v>161.96032199999999</v>
      </c>
    </row>
    <row r="14" spans="1:11" x14ac:dyDescent="0.25">
      <c r="D14" s="1">
        <v>500</v>
      </c>
      <c r="E14" s="1" t="s">
        <v>18</v>
      </c>
      <c r="F14" s="1">
        <v>120</v>
      </c>
      <c r="G14" s="14">
        <v>156.08266947499996</v>
      </c>
      <c r="H14" s="14">
        <v>3.4462565066553013</v>
      </c>
      <c r="I14" s="27">
        <v>0.31459873794067683</v>
      </c>
      <c r="J14" s="27">
        <v>156.08266947499996</v>
      </c>
      <c r="K14" s="27">
        <v>156.08266947499996</v>
      </c>
    </row>
    <row r="15" spans="1:11" x14ac:dyDescent="0.25">
      <c r="D15" s="1">
        <v>500</v>
      </c>
      <c r="E15" s="1" t="s">
        <v>33</v>
      </c>
      <c r="F15" s="1">
        <v>120</v>
      </c>
      <c r="G15" s="14">
        <v>126.02958342499991</v>
      </c>
      <c r="H15" s="14">
        <v>9.4584025544197814E-2</v>
      </c>
      <c r="I15" s="27">
        <v>8.6343007283669979E-3</v>
      </c>
      <c r="J15" s="27">
        <v>126.02958342499991</v>
      </c>
      <c r="K15" s="27">
        <v>126.02958342499991</v>
      </c>
    </row>
    <row r="16" spans="1:11" x14ac:dyDescent="0.25">
      <c r="D16" s="1">
        <v>500</v>
      </c>
      <c r="E16" s="1" t="s">
        <v>34</v>
      </c>
      <c r="F16" s="1">
        <v>120</v>
      </c>
      <c r="G16" s="14">
        <v>152.67388125833335</v>
      </c>
      <c r="H16" s="14">
        <v>1.327895188181041</v>
      </c>
      <c r="I16" s="27">
        <v>0.1212196914282206</v>
      </c>
      <c r="J16" s="27">
        <v>152.67388125833335</v>
      </c>
      <c r="K16" s="27">
        <v>152.67388125833335</v>
      </c>
    </row>
    <row r="17" spans="9:11" x14ac:dyDescent="0.25">
      <c r="I17" s="27"/>
      <c r="J17" s="27"/>
      <c r="K17" s="27"/>
    </row>
    <row r="19" spans="9:11" x14ac:dyDescent="0.25">
      <c r="I19" s="27"/>
      <c r="J19" s="27"/>
      <c r="K19" s="27"/>
    </row>
    <row r="20" spans="9:11" x14ac:dyDescent="0.25">
      <c r="I20" s="27"/>
      <c r="J20" s="27"/>
      <c r="K20" s="27"/>
    </row>
    <row r="22" spans="9:11" x14ac:dyDescent="0.25">
      <c r="J22" s="26"/>
    </row>
  </sheetData>
  <autoFilter ref="D1:K21" xr:uid="{933463B2-8B5E-47A4-BB24-E9A7A2570874}">
    <sortState xmlns:xlrd2="http://schemas.microsoft.com/office/spreadsheetml/2017/richdata2" ref="D2:K21">
      <sortCondition ref="D1:D21"/>
    </sortState>
  </autoFilter>
  <dataValidations count="1">
    <dataValidation type="list" showInputMessage="1" showErrorMessage="1" sqref="B3" xr:uid="{8BB9811F-9429-4303-B942-5AC0880F2D06}">
      <formula1>"Atendimento,ExeTime,TotalCost,Avg.RTime"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rramentaDeAnaliseFinal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1</xdr:col>
                    <xdr:colOff>790575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2D8C-D79E-41BB-A989-DB1AFDE207B2}">
  <sheetPr codeName="Planilha7"/>
  <dimension ref="A1:Y37"/>
  <sheetViews>
    <sheetView topLeftCell="E1" zoomScale="170" zoomScaleNormal="170" workbookViewId="0">
      <selection activeCell="Q12" sqref="Q12"/>
    </sheetView>
  </sheetViews>
  <sheetFormatPr defaultRowHeight="15.75" x14ac:dyDescent="0.25"/>
  <cols>
    <col min="1" max="1" width="12.7109375" style="17" bestFit="1" customWidth="1"/>
    <col min="2" max="2" width="20.7109375" style="17" bestFit="1" customWidth="1"/>
    <col min="3" max="3" width="4.42578125" style="17" bestFit="1" customWidth="1"/>
    <col min="4" max="4" width="11" style="21" bestFit="1" customWidth="1"/>
    <col min="5" max="5" width="15.28515625" style="21" bestFit="1" customWidth="1"/>
    <col min="6" max="6" width="13.42578125" style="17" bestFit="1" customWidth="1"/>
    <col min="7" max="7" width="11.7109375" style="17" bestFit="1" customWidth="1"/>
    <col min="8" max="8" width="12.7109375" style="17" bestFit="1" customWidth="1"/>
    <col min="9" max="9" width="2.28515625" style="17" bestFit="1" customWidth="1"/>
    <col min="10" max="10" width="11" style="17" bestFit="1" customWidth="1"/>
    <col min="11" max="11" width="8.7109375" style="17" bestFit="1" customWidth="1"/>
    <col min="12" max="16" width="8.5703125" style="17" bestFit="1" customWidth="1"/>
    <col min="17" max="19" width="9" style="17" bestFit="1" customWidth="1"/>
    <col min="20" max="20" width="2.28515625" style="17" bestFit="1" customWidth="1"/>
    <col min="21" max="23" width="10.42578125" style="17" bestFit="1" customWidth="1"/>
    <col min="24" max="24" width="9.85546875" style="17" bestFit="1" customWidth="1"/>
    <col min="25" max="25" width="10.28515625" style="17" bestFit="1" customWidth="1"/>
    <col min="26" max="26" width="9.85546875" style="17" bestFit="1" customWidth="1"/>
    <col min="27" max="16384" width="9.140625" style="17"/>
  </cols>
  <sheetData>
    <row r="1" spans="1:25" s="16" customFormat="1" x14ac:dyDescent="0.25">
      <c r="A1" s="13" t="s">
        <v>24</v>
      </c>
      <c r="B1" s="13" t="s">
        <v>26</v>
      </c>
      <c r="C1" s="13" t="s">
        <v>48</v>
      </c>
      <c r="D1" s="20" t="s">
        <v>27</v>
      </c>
      <c r="E1" s="20" t="s">
        <v>28</v>
      </c>
      <c r="F1" s="13" t="s">
        <v>29</v>
      </c>
      <c r="G1" s="13" t="s">
        <v>30</v>
      </c>
      <c r="H1" s="13" t="s">
        <v>31</v>
      </c>
      <c r="J1" s="16" t="s">
        <v>41</v>
      </c>
      <c r="K1">
        <v>300</v>
      </c>
      <c r="L1">
        <v>400</v>
      </c>
      <c r="M1">
        <v>500</v>
      </c>
      <c r="N1" s="16" t="s">
        <v>45</v>
      </c>
      <c r="O1" s="16" t="s">
        <v>46</v>
      </c>
      <c r="P1" s="16" t="s">
        <v>47</v>
      </c>
      <c r="Q1" s="16" t="s">
        <v>42</v>
      </c>
      <c r="R1" s="16" t="s">
        <v>43</v>
      </c>
      <c r="S1" s="16" t="s">
        <v>44</v>
      </c>
      <c r="T1" s="16" t="s">
        <v>49</v>
      </c>
      <c r="U1" s="16">
        <v>300</v>
      </c>
      <c r="V1" s="16">
        <v>400</v>
      </c>
      <c r="W1" s="16">
        <v>500</v>
      </c>
    </row>
    <row r="2" spans="1:25" x14ac:dyDescent="0.25">
      <c r="A2" s="1">
        <v>300</v>
      </c>
      <c r="B2" s="1" t="s">
        <v>17</v>
      </c>
      <c r="C2" s="1">
        <v>1</v>
      </c>
      <c r="D2" s="14">
        <v>0.71024760079420524</v>
      </c>
      <c r="E2" s="14">
        <v>0</v>
      </c>
      <c r="F2" s="14">
        <v>0</v>
      </c>
      <c r="G2" s="14">
        <v>0.71024760079420524</v>
      </c>
      <c r="H2" s="14">
        <v>0.71024760079420524</v>
      </c>
      <c r="Q2" s="19">
        <f>$D$3</f>
        <v>0.99646678320381044</v>
      </c>
      <c r="R2" s="19">
        <f>$D$8</f>
        <v>0.81842818428184283</v>
      </c>
      <c r="S2" s="19">
        <f>$D$13</f>
        <v>0.69414316702819956</v>
      </c>
    </row>
    <row r="3" spans="1:25" x14ac:dyDescent="0.25">
      <c r="A3" s="1">
        <v>300</v>
      </c>
      <c r="B3" s="1" t="s">
        <v>32</v>
      </c>
      <c r="C3" s="1">
        <v>1</v>
      </c>
      <c r="D3" s="14">
        <v>0.99646678320381044</v>
      </c>
      <c r="E3" s="14">
        <v>0</v>
      </c>
      <c r="F3" s="14">
        <v>0</v>
      </c>
      <c r="G3" s="14">
        <v>0.99646678320381044</v>
      </c>
      <c r="H3" s="14">
        <v>0.99646678320381044</v>
      </c>
      <c r="J3" s="16" t="s">
        <v>37</v>
      </c>
      <c r="K3" s="32">
        <f>$D$2</f>
        <v>0.71024760079420524</v>
      </c>
      <c r="L3" s="32">
        <f>$D$7</f>
        <v>0.57452574525745259</v>
      </c>
      <c r="M3" s="32">
        <f>$D$12</f>
        <v>0.48806941431670281</v>
      </c>
      <c r="N3" s="32">
        <f>$E$2</f>
        <v>0</v>
      </c>
      <c r="O3" s="32">
        <f>$E$7</f>
        <v>0</v>
      </c>
      <c r="P3" s="32">
        <f>$E$12</f>
        <v>0</v>
      </c>
      <c r="Q3" s="32">
        <f t="shared" ref="Q3:Q7" si="0">$D$3</f>
        <v>0.99646678320381044</v>
      </c>
      <c r="R3" s="32">
        <f t="shared" ref="R3:R7" si="1">$D$8</f>
        <v>0.81842818428184283</v>
      </c>
      <c r="S3" s="32">
        <f t="shared" ref="S3:S7" si="2">$D$13</f>
        <v>0.69414316702819956</v>
      </c>
      <c r="U3" s="33">
        <f>1-(K3/Q3)</f>
        <v>0.28723404255319152</v>
      </c>
      <c r="V3" s="33">
        <f t="shared" ref="V3:W6" si="3">1- (L3/R3)</f>
        <v>0.29801324503311255</v>
      </c>
      <c r="W3" s="33">
        <f t="shared" si="3"/>
        <v>0.296875</v>
      </c>
    </row>
    <row r="4" spans="1:25" x14ac:dyDescent="0.25">
      <c r="A4" s="1">
        <v>300</v>
      </c>
      <c r="B4" s="1" t="s">
        <v>18</v>
      </c>
      <c r="C4" s="1">
        <v>120</v>
      </c>
      <c r="D4" s="14">
        <v>0.59028285875719411</v>
      </c>
      <c r="E4" s="14">
        <v>2.1694828295509335E-2</v>
      </c>
      <c r="F4" s="14">
        <v>1.9804578064419693E-3</v>
      </c>
      <c r="G4" s="14">
        <v>0.59028285875719411</v>
      </c>
      <c r="H4" s="14">
        <v>0.59028285875719411</v>
      </c>
      <c r="J4" s="16" t="s">
        <v>38</v>
      </c>
      <c r="K4" s="32">
        <f>$D$4</f>
        <v>0.59028285875719411</v>
      </c>
      <c r="L4" s="32">
        <f>$D$9</f>
        <v>0.54238934056007304</v>
      </c>
      <c r="M4" s="32">
        <f>$D$14</f>
        <v>0.49634851771511213</v>
      </c>
      <c r="N4" s="32">
        <f>$E$4</f>
        <v>2.1694828295509335E-2</v>
      </c>
      <c r="O4" s="32">
        <f>$E$9</f>
        <v>1.9943338279908962E-2</v>
      </c>
      <c r="P4" s="32">
        <f>$E$14</f>
        <v>1.5366829809523651E-2</v>
      </c>
      <c r="Q4" s="32">
        <f t="shared" si="0"/>
        <v>0.99646678320381044</v>
      </c>
      <c r="R4" s="32">
        <f t="shared" si="1"/>
        <v>0.81842818428184283</v>
      </c>
      <c r="S4" s="32">
        <f t="shared" si="2"/>
        <v>0.69414316702819956</v>
      </c>
      <c r="U4" s="33">
        <f>1-(K4/Q4)</f>
        <v>0.40762414893617005</v>
      </c>
      <c r="V4" s="33">
        <f t="shared" si="3"/>
        <v>0.33727924944812271</v>
      </c>
      <c r="W4" s="33">
        <f t="shared" si="3"/>
        <v>0.28494791666666663</v>
      </c>
    </row>
    <row r="5" spans="1:25" x14ac:dyDescent="0.25">
      <c r="A5" s="1">
        <v>300</v>
      </c>
      <c r="B5" s="1" t="s">
        <v>33</v>
      </c>
      <c r="C5" s="1">
        <v>120</v>
      </c>
      <c r="D5" s="14">
        <v>0.71298584381125241</v>
      </c>
      <c r="E5" s="14">
        <v>1.481595120236566E-3</v>
      </c>
      <c r="F5" s="14">
        <v>1.3525051140719099E-4</v>
      </c>
      <c r="G5" s="14">
        <v>0.71298584381125241</v>
      </c>
      <c r="H5" s="14">
        <v>0.71298584381125241</v>
      </c>
      <c r="J5" s="16" t="s">
        <v>39</v>
      </c>
      <c r="K5" s="32">
        <f>$D$5</f>
        <v>0.71298584381125241</v>
      </c>
      <c r="L5" s="32">
        <f>$D$10</f>
        <v>0.58023938572719091</v>
      </c>
      <c r="M5" s="32">
        <f>$D$15</f>
        <v>0.48855748373102004</v>
      </c>
      <c r="N5" s="32">
        <f>$E$5</f>
        <v>1.481595120236566E-3</v>
      </c>
      <c r="O5" s="32">
        <f>$E$10</f>
        <v>2.072424758308516E-3</v>
      </c>
      <c r="P5" s="32">
        <f>$E$15</f>
        <v>9.0961649498450892E-4</v>
      </c>
      <c r="Q5" s="32">
        <f t="shared" si="0"/>
        <v>0.99646678320381044</v>
      </c>
      <c r="R5" s="32">
        <f t="shared" si="1"/>
        <v>0.81842818428184283</v>
      </c>
      <c r="S5" s="32">
        <f t="shared" si="2"/>
        <v>0.69414316702819956</v>
      </c>
      <c r="U5" s="33">
        <f t="shared" ref="U4:U6" si="4">1- (K5/Q5)</f>
        <v>0.28448609042553186</v>
      </c>
      <c r="V5" s="33">
        <f t="shared" si="3"/>
        <v>0.29103200883002167</v>
      </c>
      <c r="W5" s="33">
        <f t="shared" si="3"/>
        <v>0.29617187499999931</v>
      </c>
    </row>
    <row r="6" spans="1:25" x14ac:dyDescent="0.25">
      <c r="A6" s="1">
        <v>300</v>
      </c>
      <c r="B6" s="1" t="s">
        <v>34</v>
      </c>
      <c r="C6" s="1">
        <v>120</v>
      </c>
      <c r="D6" s="14">
        <v>0.96065995076323218</v>
      </c>
      <c r="E6" s="14">
        <v>8.7510612792556109E-3</v>
      </c>
      <c r="F6" s="14">
        <v>7.9885894412638563E-4</v>
      </c>
      <c r="G6" s="14">
        <v>0.96065995076323218</v>
      </c>
      <c r="H6" s="14">
        <v>0.96065995076323218</v>
      </c>
      <c r="J6" s="16" t="s">
        <v>40</v>
      </c>
      <c r="K6" s="32">
        <f>$D$6</f>
        <v>0.96065995076323218</v>
      </c>
      <c r="L6" s="32">
        <f>$D$11</f>
        <v>0.79686088527551846</v>
      </c>
      <c r="M6" s="32">
        <f>$D$16</f>
        <v>0.6785249457700645</v>
      </c>
      <c r="N6" s="32">
        <f>$E$6</f>
        <v>8.7510612792556109E-3</v>
      </c>
      <c r="O6" s="32">
        <f>$E$11</f>
        <v>8.9115710300140989E-3</v>
      </c>
      <c r="P6" s="32">
        <f>$E$16</f>
        <v>3.2014232343675129E-3</v>
      </c>
      <c r="Q6" s="32">
        <f t="shared" si="0"/>
        <v>0.99646678320381044</v>
      </c>
      <c r="R6" s="32">
        <f t="shared" si="1"/>
        <v>0.81842818428184283</v>
      </c>
      <c r="S6" s="32">
        <f t="shared" si="2"/>
        <v>0.69414316702819956</v>
      </c>
      <c r="U6" s="33">
        <f t="shared" si="4"/>
        <v>3.5933794326242552E-2</v>
      </c>
      <c r="V6" s="33">
        <f t="shared" si="3"/>
        <v>2.6352097130244001E-2</v>
      </c>
      <c r="W6" s="33">
        <f t="shared" si="3"/>
        <v>2.2500000000000853E-2</v>
      </c>
    </row>
    <row r="7" spans="1:25" x14ac:dyDescent="0.25">
      <c r="A7" s="1">
        <v>400</v>
      </c>
      <c r="B7" s="1" t="s">
        <v>17</v>
      </c>
      <c r="C7" s="1">
        <v>1</v>
      </c>
      <c r="D7" s="14">
        <v>0.57452574525745259</v>
      </c>
      <c r="E7" s="14">
        <v>0</v>
      </c>
      <c r="F7" s="14">
        <v>0</v>
      </c>
      <c r="G7" s="14">
        <v>0.57452574525745259</v>
      </c>
      <c r="H7" s="14">
        <v>0.57452574525745259</v>
      </c>
      <c r="J7" s="16"/>
      <c r="K7"/>
      <c r="L7"/>
      <c r="M7"/>
      <c r="N7"/>
      <c r="O7"/>
      <c r="Q7" s="32">
        <f t="shared" si="0"/>
        <v>0.99646678320381044</v>
      </c>
      <c r="R7" s="32">
        <f t="shared" si="1"/>
        <v>0.81842818428184283</v>
      </c>
      <c r="S7" s="32">
        <f t="shared" si="2"/>
        <v>0.69414316702819956</v>
      </c>
    </row>
    <row r="8" spans="1:25" x14ac:dyDescent="0.25">
      <c r="A8" s="1">
        <v>400</v>
      </c>
      <c r="B8" s="1" t="s">
        <v>32</v>
      </c>
      <c r="C8" s="1">
        <v>1</v>
      </c>
      <c r="D8" s="14">
        <v>0.81842818428184283</v>
      </c>
      <c r="E8" s="14">
        <v>0</v>
      </c>
      <c r="F8" s="14">
        <v>0</v>
      </c>
      <c r="G8" s="14">
        <v>0.81842818428184283</v>
      </c>
      <c r="H8" s="14">
        <v>0.81842818428184283</v>
      </c>
      <c r="J8"/>
      <c r="K8"/>
      <c r="L8"/>
      <c r="M8"/>
      <c r="N8"/>
      <c r="O8"/>
    </row>
    <row r="9" spans="1:25" x14ac:dyDescent="0.25">
      <c r="A9" s="1">
        <v>400</v>
      </c>
      <c r="B9" s="1" t="s">
        <v>18</v>
      </c>
      <c r="C9" s="1">
        <v>120</v>
      </c>
      <c r="D9" s="14">
        <v>0.54238934056007304</v>
      </c>
      <c r="E9" s="14">
        <v>1.9943338279908962E-2</v>
      </c>
      <c r="F9" s="14">
        <v>1.8205693746437361E-3</v>
      </c>
      <c r="G9" s="14">
        <v>0.54238934056007304</v>
      </c>
      <c r="H9" s="14">
        <v>0.54238934056007304</v>
      </c>
      <c r="J9" s="16"/>
      <c r="K9"/>
      <c r="L9"/>
      <c r="M9"/>
      <c r="N9"/>
      <c r="O9"/>
    </row>
    <row r="10" spans="1:25" x14ac:dyDescent="0.25">
      <c r="A10" s="1">
        <v>400</v>
      </c>
      <c r="B10" s="1" t="s">
        <v>33</v>
      </c>
      <c r="C10" s="1">
        <v>120</v>
      </c>
      <c r="D10" s="14">
        <v>0.58023938572719091</v>
      </c>
      <c r="E10" s="14">
        <v>2.072424758308516E-3</v>
      </c>
      <c r="F10" s="14">
        <v>1.8918563147629435E-4</v>
      </c>
      <c r="G10" s="14">
        <v>0.58023938572719091</v>
      </c>
      <c r="H10" s="14">
        <v>0.58023938572719091</v>
      </c>
      <c r="J10" s="19"/>
      <c r="K10"/>
      <c r="L10"/>
      <c r="M10"/>
      <c r="N10"/>
      <c r="O10"/>
      <c r="R10" s="18"/>
      <c r="Y10" s="18"/>
    </row>
    <row r="11" spans="1:25" x14ac:dyDescent="0.25">
      <c r="A11" s="1">
        <v>400</v>
      </c>
      <c r="B11" s="1" t="s">
        <v>34</v>
      </c>
      <c r="C11" s="1">
        <v>120</v>
      </c>
      <c r="D11" s="14">
        <v>0.79686088527551846</v>
      </c>
      <c r="E11" s="14">
        <v>8.9115710300140989E-3</v>
      </c>
      <c r="F11" s="14">
        <v>8.1351141265804494E-4</v>
      </c>
      <c r="G11" s="14">
        <v>0.79686088527551846</v>
      </c>
      <c r="H11" s="14">
        <v>0.79686088527551846</v>
      </c>
      <c r="J11" s="19"/>
      <c r="Q11" s="18"/>
      <c r="Y11" s="18"/>
    </row>
    <row r="12" spans="1:25" x14ac:dyDescent="0.25">
      <c r="A12" s="1">
        <v>500</v>
      </c>
      <c r="B12" s="1" t="s">
        <v>17</v>
      </c>
      <c r="C12" s="1">
        <v>1</v>
      </c>
      <c r="D12" s="14">
        <v>0.48806941431670281</v>
      </c>
      <c r="E12" s="14">
        <v>0</v>
      </c>
      <c r="F12" s="14">
        <v>0</v>
      </c>
      <c r="G12" s="14">
        <v>0.48806941431670281</v>
      </c>
      <c r="H12" s="14">
        <v>0.48806941431670281</v>
      </c>
      <c r="J12" s="23"/>
    </row>
    <row r="13" spans="1:25" x14ac:dyDescent="0.25">
      <c r="A13" s="1">
        <v>500</v>
      </c>
      <c r="B13" s="1" t="s">
        <v>32</v>
      </c>
      <c r="C13" s="1">
        <v>1</v>
      </c>
      <c r="D13" s="14">
        <v>0.69414316702819956</v>
      </c>
      <c r="E13" s="14">
        <v>0</v>
      </c>
      <c r="F13" s="14">
        <v>0</v>
      </c>
      <c r="G13" s="14">
        <v>0.69414316702819956</v>
      </c>
      <c r="H13" s="14">
        <v>0.69414316702819956</v>
      </c>
      <c r="J13" s="19"/>
    </row>
    <row r="14" spans="1:25" x14ac:dyDescent="0.25">
      <c r="A14" s="1">
        <v>500</v>
      </c>
      <c r="B14" s="1" t="s">
        <v>18</v>
      </c>
      <c r="C14" s="1">
        <v>120</v>
      </c>
      <c r="D14" s="14">
        <v>0.49634851771511213</v>
      </c>
      <c r="E14" s="14">
        <v>1.5366829809523651E-2</v>
      </c>
      <c r="F14" s="14">
        <v>1.4027932206698199E-3</v>
      </c>
      <c r="G14" s="14">
        <v>0.49634851771511213</v>
      </c>
      <c r="H14" s="14">
        <v>0.49634851771511213</v>
      </c>
    </row>
    <row r="15" spans="1:25" x14ac:dyDescent="0.25">
      <c r="A15" s="1">
        <v>500</v>
      </c>
      <c r="B15" s="1" t="s">
        <v>33</v>
      </c>
      <c r="C15" s="1">
        <v>120</v>
      </c>
      <c r="D15" s="14">
        <v>0.48855748373102004</v>
      </c>
      <c r="E15" s="14">
        <v>9.0961649498450892E-4</v>
      </c>
      <c r="F15" s="14">
        <v>8.3036245496966718E-5</v>
      </c>
      <c r="G15" s="14">
        <v>0.48855748373102004</v>
      </c>
      <c r="H15" s="14">
        <v>0.48855748373102004</v>
      </c>
      <c r="Q15" s="18"/>
    </row>
    <row r="16" spans="1:25" x14ac:dyDescent="0.25">
      <c r="A16" s="1">
        <v>500</v>
      </c>
      <c r="B16" s="1" t="s">
        <v>34</v>
      </c>
      <c r="C16" s="1">
        <v>120</v>
      </c>
      <c r="D16" s="14">
        <v>0.6785249457700645</v>
      </c>
      <c r="E16" s="14">
        <v>3.2014232343675129E-3</v>
      </c>
      <c r="F16" s="14">
        <v>2.9224862026403918E-4</v>
      </c>
      <c r="G16" s="14">
        <v>0.6785249457700645</v>
      </c>
      <c r="H16" s="14">
        <v>0.6785249457700645</v>
      </c>
    </row>
    <row r="18" spans="1:8" x14ac:dyDescent="0.25">
      <c r="A18"/>
      <c r="B18"/>
      <c r="C18"/>
      <c r="D18" s="22"/>
      <c r="E18" s="22"/>
      <c r="F18"/>
      <c r="G18"/>
    </row>
    <row r="19" spans="1:8" x14ac:dyDescent="0.25">
      <c r="A19"/>
      <c r="B19"/>
      <c r="C19"/>
      <c r="D19" s="22"/>
      <c r="E19" s="22"/>
      <c r="F19"/>
      <c r="G19"/>
    </row>
    <row r="20" spans="1:8" x14ac:dyDescent="0.25">
      <c r="A20"/>
      <c r="B20"/>
      <c r="C20"/>
      <c r="D20" s="22"/>
      <c r="E20" s="22"/>
      <c r="F20"/>
      <c r="G20"/>
    </row>
    <row r="21" spans="1:8" x14ac:dyDescent="0.25">
      <c r="A21"/>
      <c r="B21"/>
      <c r="C21"/>
      <c r="D21" s="22"/>
      <c r="E21" s="22"/>
      <c r="F21"/>
      <c r="G21"/>
    </row>
    <row r="22" spans="1:8" x14ac:dyDescent="0.25">
      <c r="A22"/>
      <c r="B22"/>
      <c r="C22"/>
      <c r="D22" s="22"/>
      <c r="E22" s="22"/>
      <c r="F22"/>
      <c r="G22"/>
    </row>
    <row r="23" spans="1:8" x14ac:dyDescent="0.25">
      <c r="A23"/>
      <c r="B23"/>
      <c r="C23"/>
      <c r="D23" s="22"/>
      <c r="E23" s="22"/>
      <c r="F23"/>
      <c r="G23"/>
    </row>
    <row r="24" spans="1:8" x14ac:dyDescent="0.25">
      <c r="A24"/>
      <c r="B24"/>
      <c r="C24"/>
      <c r="D24" s="22"/>
      <c r="E24" s="22"/>
      <c r="F24"/>
      <c r="H24" s="18"/>
    </row>
    <row r="25" spans="1:8" x14ac:dyDescent="0.25">
      <c r="A25"/>
      <c r="B25"/>
      <c r="C25"/>
      <c r="D25" s="22"/>
      <c r="E25" s="22"/>
      <c r="F25"/>
    </row>
    <row r="26" spans="1:8" x14ac:dyDescent="0.25">
      <c r="A26"/>
      <c r="B26"/>
      <c r="C26"/>
      <c r="D26" s="22"/>
      <c r="F26" s="18"/>
    </row>
    <row r="27" spans="1:8" x14ac:dyDescent="0.25">
      <c r="A27"/>
      <c r="B27"/>
      <c r="C27"/>
      <c r="D27" s="22"/>
    </row>
    <row r="28" spans="1:8" x14ac:dyDescent="0.25">
      <c r="A28"/>
      <c r="B28"/>
      <c r="C28"/>
      <c r="D28" s="22"/>
    </row>
    <row r="29" spans="1:8" x14ac:dyDescent="0.25">
      <c r="A29"/>
      <c r="B29"/>
      <c r="C29"/>
      <c r="D29" s="22"/>
    </row>
    <row r="30" spans="1:8" x14ac:dyDescent="0.25">
      <c r="A30"/>
      <c r="B30"/>
      <c r="C30"/>
      <c r="D30" s="22"/>
    </row>
    <row r="31" spans="1:8" x14ac:dyDescent="0.25">
      <c r="A31"/>
      <c r="B31"/>
      <c r="C31"/>
      <c r="D31" s="22"/>
    </row>
    <row r="32" spans="1:8" x14ac:dyDescent="0.25">
      <c r="A32"/>
      <c r="B32"/>
      <c r="C32"/>
      <c r="D32" s="22"/>
    </row>
    <row r="33" spans="1:4" x14ac:dyDescent="0.25">
      <c r="A33"/>
      <c r="B33"/>
      <c r="C33"/>
      <c r="D33" s="22"/>
    </row>
    <row r="34" spans="1:4" x14ac:dyDescent="0.25">
      <c r="A34"/>
      <c r="B34"/>
      <c r="C34"/>
      <c r="D34" s="22"/>
    </row>
    <row r="35" spans="1:4" x14ac:dyDescent="0.25">
      <c r="A35"/>
      <c r="B35"/>
      <c r="C35"/>
      <c r="D35" s="22"/>
    </row>
    <row r="36" spans="1:4" x14ac:dyDescent="0.25">
      <c r="A36"/>
      <c r="B36"/>
    </row>
    <row r="37" spans="1:4" x14ac:dyDescent="0.25">
      <c r="A37"/>
      <c r="B37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8591E-3815-484E-8570-5E4FDB24FE37}">
  <sheetPr codeName="Planilha6"/>
  <dimension ref="A1:AA26"/>
  <sheetViews>
    <sheetView topLeftCell="I1" zoomScale="170" zoomScaleNormal="170" workbookViewId="0">
      <selection activeCell="P19" sqref="P19"/>
    </sheetView>
  </sheetViews>
  <sheetFormatPr defaultRowHeight="15.75" x14ac:dyDescent="0.25"/>
  <cols>
    <col min="1" max="1" width="12.7109375" style="17" bestFit="1" customWidth="1"/>
    <col min="2" max="2" width="20.7109375" style="17" customWidth="1"/>
    <col min="3" max="3" width="4.42578125" style="17" bestFit="1" customWidth="1"/>
    <col min="4" max="4" width="14.5703125" style="17" bestFit="1" customWidth="1"/>
    <col min="5" max="5" width="15.28515625" style="17" bestFit="1" customWidth="1"/>
    <col min="6" max="6" width="13.42578125" style="17" bestFit="1" customWidth="1"/>
    <col min="7" max="8" width="14.5703125" style="17" bestFit="1" customWidth="1"/>
    <col min="9" max="9" width="2" style="17" bestFit="1" customWidth="1"/>
    <col min="10" max="10" width="11" style="17" bestFit="1" customWidth="1"/>
    <col min="11" max="11" width="12.140625" style="17" bestFit="1" customWidth="1"/>
    <col min="12" max="13" width="13.28515625" style="17" bestFit="1" customWidth="1"/>
    <col min="14" max="16" width="11" style="17" bestFit="1" customWidth="1"/>
    <col min="17" max="18" width="12.140625" style="17" bestFit="1" customWidth="1"/>
    <col min="19" max="19" width="13.28515625" style="17" bestFit="1" customWidth="1"/>
    <col min="20" max="20" width="2.28515625" style="17" bestFit="1" customWidth="1"/>
    <col min="21" max="21" width="12.85546875" style="17" bestFit="1" customWidth="1"/>
    <col min="22" max="23" width="11.7109375" style="17" bestFit="1" customWidth="1"/>
    <col min="24" max="24" width="2.28515625" style="17" bestFit="1" customWidth="1"/>
    <col min="25" max="26" width="8.5703125" style="17" bestFit="1" customWidth="1"/>
    <col min="27" max="27" width="11.5703125" style="17" bestFit="1" customWidth="1"/>
    <col min="28" max="28" width="8.85546875" style="17" bestFit="1" customWidth="1"/>
    <col min="29" max="29" width="10.7109375" style="17" bestFit="1" customWidth="1"/>
    <col min="30" max="16384" width="9.140625" style="17"/>
  </cols>
  <sheetData>
    <row r="1" spans="1:27" s="16" customFormat="1" x14ac:dyDescent="0.25">
      <c r="A1" s="13" t="s">
        <v>24</v>
      </c>
      <c r="B1" s="13" t="s">
        <v>26</v>
      </c>
      <c r="C1" s="13" t="s">
        <v>48</v>
      </c>
      <c r="D1" s="13" t="s">
        <v>27</v>
      </c>
      <c r="E1" s="13" t="s">
        <v>28</v>
      </c>
      <c r="F1" s="13" t="s">
        <v>29</v>
      </c>
      <c r="G1" s="13" t="s">
        <v>30</v>
      </c>
      <c r="H1" s="13" t="s">
        <v>31</v>
      </c>
      <c r="J1" s="16" t="s">
        <v>41</v>
      </c>
      <c r="K1" s="17">
        <v>300</v>
      </c>
      <c r="L1" s="17">
        <v>400</v>
      </c>
      <c r="M1" s="17">
        <v>500</v>
      </c>
      <c r="N1" s="16" t="s">
        <v>45</v>
      </c>
      <c r="O1" s="16" t="s">
        <v>46</v>
      </c>
      <c r="P1" s="16" t="s">
        <v>47</v>
      </c>
      <c r="Q1" s="16" t="s">
        <v>42</v>
      </c>
      <c r="R1" s="16" t="s">
        <v>43</v>
      </c>
      <c r="S1" s="16" t="s">
        <v>44</v>
      </c>
      <c r="T1" s="16" t="s">
        <v>49</v>
      </c>
      <c r="U1" s="17">
        <v>300</v>
      </c>
      <c r="V1" s="17">
        <v>400</v>
      </c>
      <c r="W1" s="17">
        <v>500</v>
      </c>
      <c r="X1" s="16" t="s">
        <v>49</v>
      </c>
      <c r="Y1" s="17">
        <v>300</v>
      </c>
      <c r="Z1" s="17">
        <v>400</v>
      </c>
      <c r="AA1" s="17">
        <v>500</v>
      </c>
    </row>
    <row r="2" spans="1:27" x14ac:dyDescent="0.25">
      <c r="A2" s="1">
        <v>300</v>
      </c>
      <c r="B2" s="1" t="s">
        <v>17</v>
      </c>
      <c r="C2" s="1">
        <v>1</v>
      </c>
      <c r="D2" s="14">
        <v>706.36671000000001</v>
      </c>
      <c r="E2" s="14">
        <v>0</v>
      </c>
      <c r="F2" s="14">
        <v>0</v>
      </c>
      <c r="G2" s="14">
        <v>706.36671000000001</v>
      </c>
      <c r="H2" s="14">
        <v>706.36671000000001</v>
      </c>
      <c r="Q2" s="24">
        <f>$D$3</f>
        <v>117.65951</v>
      </c>
      <c r="R2" s="24">
        <f>$D$8</f>
        <v>700.06790000000001</v>
      </c>
      <c r="S2" s="24">
        <f>$D$13</f>
        <v>1291.2765899999999</v>
      </c>
    </row>
    <row r="3" spans="1:27" x14ac:dyDescent="0.25">
      <c r="A3" s="1">
        <v>300</v>
      </c>
      <c r="B3" s="1" t="s">
        <v>32</v>
      </c>
      <c r="C3" s="1">
        <v>1</v>
      </c>
      <c r="D3" s="14">
        <v>117.65951</v>
      </c>
      <c r="E3" s="14">
        <v>0</v>
      </c>
      <c r="F3" s="14">
        <v>0</v>
      </c>
      <c r="G3" s="14">
        <v>117.65951</v>
      </c>
      <c r="H3" s="14">
        <v>117.65951</v>
      </c>
      <c r="J3" s="16" t="s">
        <v>37</v>
      </c>
      <c r="K3" s="24">
        <f>$D$2</f>
        <v>706.36671000000001</v>
      </c>
      <c r="L3" s="24">
        <f>$D$7</f>
        <v>1343.4716599999999</v>
      </c>
      <c r="M3" s="24">
        <f>$D$12</f>
        <v>1933.17812</v>
      </c>
      <c r="N3" s="24">
        <f>$E$2</f>
        <v>0</v>
      </c>
      <c r="O3" s="24">
        <f>$E$7</f>
        <v>0</v>
      </c>
      <c r="P3" s="24">
        <f>$E$12</f>
        <v>0</v>
      </c>
      <c r="Q3" s="24">
        <f t="shared" ref="Q3:Q7" si="0">$D$3</f>
        <v>117.65951</v>
      </c>
      <c r="R3" s="24">
        <f t="shared" ref="R3:R7" si="1">$D$8</f>
        <v>700.06790000000001</v>
      </c>
      <c r="S3" s="24">
        <f t="shared" ref="S3:S7" si="2">$D$13</f>
        <v>1291.2765899999999</v>
      </c>
      <c r="U3" s="35">
        <f>1-(Q3/K3)</f>
        <v>0.83342998992690354</v>
      </c>
      <c r="V3" s="35">
        <f t="shared" ref="V3:W6" si="3">1-(R3/L3)</f>
        <v>0.47891130059267495</v>
      </c>
      <c r="W3" s="35">
        <f t="shared" si="3"/>
        <v>0.33204469022233718</v>
      </c>
    </row>
    <row r="4" spans="1:27" x14ac:dyDescent="0.25">
      <c r="A4" s="1">
        <v>300</v>
      </c>
      <c r="B4" s="1" t="s">
        <v>18</v>
      </c>
      <c r="C4" s="1">
        <v>120</v>
      </c>
      <c r="D4" s="14">
        <v>942.56156733333387</v>
      </c>
      <c r="E4" s="14">
        <v>43.943887352618198</v>
      </c>
      <c r="F4" s="14">
        <v>4.0115097279158274</v>
      </c>
      <c r="G4" s="14">
        <v>942.56156733333387</v>
      </c>
      <c r="H4" s="14">
        <v>942.56156733333387</v>
      </c>
      <c r="J4" s="16" t="s">
        <v>38</v>
      </c>
      <c r="K4" s="24">
        <f>$D$4</f>
        <v>942.56156733333387</v>
      </c>
      <c r="L4" s="24">
        <f>$D$9</f>
        <v>1415.8175737500007</v>
      </c>
      <c r="M4" s="24">
        <f>$D$14</f>
        <v>1907.5553800833334</v>
      </c>
      <c r="N4" s="24">
        <f>$E$4</f>
        <v>43.943887352618198</v>
      </c>
      <c r="O4" s="24">
        <f>$E$9</f>
        <v>49.194758129489728</v>
      </c>
      <c r="P4" s="24">
        <f>$E$14</f>
        <v>48.417017096400599</v>
      </c>
      <c r="Q4" s="24">
        <f t="shared" si="0"/>
        <v>117.65951</v>
      </c>
      <c r="R4" s="24">
        <f t="shared" si="1"/>
        <v>700.06790000000001</v>
      </c>
      <c r="S4" s="24">
        <f t="shared" si="2"/>
        <v>1291.2765899999999</v>
      </c>
      <c r="U4" s="35">
        <f>1-(Q4/K4)</f>
        <v>0.87517047790004987</v>
      </c>
      <c r="V4" s="35">
        <f t="shared" si="3"/>
        <v>0.50553806296826265</v>
      </c>
      <c r="W4" s="35">
        <f t="shared" si="3"/>
        <v>0.32307255480908281</v>
      </c>
    </row>
    <row r="5" spans="1:27" x14ac:dyDescent="0.25">
      <c r="A5" s="1">
        <v>300</v>
      </c>
      <c r="B5" s="1" t="s">
        <v>33</v>
      </c>
      <c r="C5" s="1">
        <v>120</v>
      </c>
      <c r="D5" s="14">
        <v>700.71274033333418</v>
      </c>
      <c r="E5" s="14">
        <v>3.0592223914613315</v>
      </c>
      <c r="F5" s="14">
        <v>0.27926751870471184</v>
      </c>
      <c r="G5" s="14">
        <v>700.71274033333418</v>
      </c>
      <c r="H5" s="14">
        <v>700.71274033333418</v>
      </c>
      <c r="J5" s="16" t="s">
        <v>39</v>
      </c>
      <c r="K5" s="24">
        <f>$D$5</f>
        <v>700.71274033333418</v>
      </c>
      <c r="L5" s="24">
        <f>$D$10</f>
        <v>1332.1668494166677</v>
      </c>
      <c r="M5" s="24">
        <f>$D$15</f>
        <v>1932.3896008333313</v>
      </c>
      <c r="N5" s="24">
        <f>$E$5</f>
        <v>3.0592223914613315</v>
      </c>
      <c r="O5" s="24">
        <f>$E$10</f>
        <v>3.6460710046470934</v>
      </c>
      <c r="P5" s="24">
        <f>$E$15</f>
        <v>1.4674193590994287</v>
      </c>
      <c r="Q5" s="24">
        <f t="shared" si="0"/>
        <v>117.65951</v>
      </c>
      <c r="R5" s="24">
        <f t="shared" si="1"/>
        <v>700.06790000000001</v>
      </c>
      <c r="S5" s="24">
        <f t="shared" si="2"/>
        <v>1291.2765899999999</v>
      </c>
      <c r="U5" s="35">
        <f t="shared" ref="U5:U6" si="4">1-(Q5/K5)</f>
        <v>0.83208595587397416</v>
      </c>
      <c r="V5" s="35">
        <f t="shared" si="3"/>
        <v>0.47448932518734621</v>
      </c>
      <c r="W5" s="35">
        <f t="shared" si="3"/>
        <v>0.33177212843458448</v>
      </c>
      <c r="Y5" s="35">
        <f>U3-U5</f>
        <v>1.3440340529293771E-3</v>
      </c>
      <c r="Z5" s="35">
        <f t="shared" ref="Z5:AA5" si="5">V3-V5</f>
        <v>4.4219754053287375E-3</v>
      </c>
      <c r="AA5" s="35">
        <f t="shared" si="5"/>
        <v>2.725617877527009E-4</v>
      </c>
    </row>
    <row r="6" spans="1:27" x14ac:dyDescent="0.25">
      <c r="A6" s="1">
        <v>300</v>
      </c>
      <c r="B6" s="1" t="s">
        <v>34</v>
      </c>
      <c r="C6" s="1">
        <v>120</v>
      </c>
      <c r="D6" s="14">
        <v>199.16101458333338</v>
      </c>
      <c r="E6" s="14">
        <v>18.734739718299807</v>
      </c>
      <c r="F6" s="14">
        <v>1.7102399254501308</v>
      </c>
      <c r="G6" s="14">
        <v>199.16101458333338</v>
      </c>
      <c r="H6" s="14">
        <v>199.16101458333338</v>
      </c>
      <c r="J6" s="16" t="s">
        <v>40</v>
      </c>
      <c r="K6" s="24">
        <f>$D$6</f>
        <v>199.16101458333338</v>
      </c>
      <c r="L6" s="24">
        <f>$D$11</f>
        <v>780.26474308333343</v>
      </c>
      <c r="M6" s="24">
        <f>$D$16</f>
        <v>1377.2489570833336</v>
      </c>
      <c r="N6" s="24">
        <f>$E$6</f>
        <v>18.734739718299807</v>
      </c>
      <c r="O6" s="24">
        <f>$E$11</f>
        <v>24.434061786406641</v>
      </c>
      <c r="P6" s="24">
        <f>$E$16</f>
        <v>10.549255217806893</v>
      </c>
      <c r="Q6" s="24">
        <f t="shared" si="0"/>
        <v>117.65951</v>
      </c>
      <c r="R6" s="24">
        <f t="shared" si="1"/>
        <v>700.06790000000001</v>
      </c>
      <c r="S6" s="24">
        <f t="shared" si="2"/>
        <v>1291.2765899999999</v>
      </c>
      <c r="U6" s="35">
        <f t="shared" si="4"/>
        <v>0.40922418854836351</v>
      </c>
      <c r="V6" s="35">
        <f t="shared" si="3"/>
        <v>0.10278157996274895</v>
      </c>
      <c r="W6" s="35">
        <f t="shared" si="3"/>
        <v>6.2423258076304111E-2</v>
      </c>
      <c r="Y6" s="35">
        <f>U4-U6</f>
        <v>0.46594628935168636</v>
      </c>
      <c r="Z6" s="35">
        <f t="shared" ref="Z6:AA6" si="6">V4-V6</f>
        <v>0.4027564830055137</v>
      </c>
      <c r="AA6" s="35">
        <f t="shared" si="6"/>
        <v>0.2606492967327787</v>
      </c>
    </row>
    <row r="7" spans="1:27" x14ac:dyDescent="0.25">
      <c r="A7" s="1">
        <v>400</v>
      </c>
      <c r="B7" s="1" t="s">
        <v>17</v>
      </c>
      <c r="C7" s="1">
        <v>1</v>
      </c>
      <c r="D7" s="14">
        <v>1343.4716599999999</v>
      </c>
      <c r="E7" s="14">
        <v>0</v>
      </c>
      <c r="F7" s="14">
        <v>0</v>
      </c>
      <c r="G7" s="14">
        <v>1343.4716599999999</v>
      </c>
      <c r="H7" s="14">
        <v>1343.4716599999999</v>
      </c>
      <c r="J7" s="16"/>
      <c r="Q7" s="24">
        <f t="shared" si="0"/>
        <v>117.65951</v>
      </c>
      <c r="R7" s="24">
        <f t="shared" si="1"/>
        <v>700.06790000000001</v>
      </c>
      <c r="S7" s="24">
        <f t="shared" si="2"/>
        <v>1291.2765899999999</v>
      </c>
    </row>
    <row r="8" spans="1:27" x14ac:dyDescent="0.25">
      <c r="A8" s="1">
        <v>400</v>
      </c>
      <c r="B8" s="1" t="s">
        <v>32</v>
      </c>
      <c r="C8" s="1">
        <v>1</v>
      </c>
      <c r="D8" s="14">
        <v>700.06790000000001</v>
      </c>
      <c r="E8" s="14">
        <v>0</v>
      </c>
      <c r="F8" s="14">
        <v>0</v>
      </c>
      <c r="G8" s="14">
        <v>700.06790000000001</v>
      </c>
      <c r="H8" s="14">
        <v>700.06790000000001</v>
      </c>
    </row>
    <row r="9" spans="1:27" x14ac:dyDescent="0.25">
      <c r="A9" s="1">
        <v>400</v>
      </c>
      <c r="B9" s="1" t="s">
        <v>18</v>
      </c>
      <c r="C9" s="1">
        <v>120</v>
      </c>
      <c r="D9" s="14">
        <v>1415.8175737500007</v>
      </c>
      <c r="E9" s="14">
        <v>49.194758129489728</v>
      </c>
      <c r="F9" s="14">
        <v>4.4908464564220294</v>
      </c>
      <c r="G9" s="14">
        <v>1415.8175737500007</v>
      </c>
      <c r="H9" s="14">
        <v>1415.8175737500007</v>
      </c>
    </row>
    <row r="10" spans="1:27" x14ac:dyDescent="0.25">
      <c r="A10" s="1">
        <v>400</v>
      </c>
      <c r="B10" s="1" t="s">
        <v>33</v>
      </c>
      <c r="C10" s="1">
        <v>120</v>
      </c>
      <c r="D10" s="14">
        <v>1332.1668494166677</v>
      </c>
      <c r="E10" s="14">
        <v>3.6460710046470934</v>
      </c>
      <c r="F10" s="14">
        <v>0.33283922258512272</v>
      </c>
      <c r="G10" s="14">
        <v>1332.1668494166677</v>
      </c>
      <c r="H10" s="14">
        <v>1332.1668494166677</v>
      </c>
      <c r="W10" s="18"/>
    </row>
    <row r="11" spans="1:27" x14ac:dyDescent="0.25">
      <c r="A11" s="1">
        <v>400</v>
      </c>
      <c r="B11" s="1" t="s">
        <v>34</v>
      </c>
      <c r="C11" s="1">
        <v>120</v>
      </c>
      <c r="D11" s="14">
        <v>780.26474308333343</v>
      </c>
      <c r="E11" s="14">
        <v>24.434061786406641</v>
      </c>
      <c r="F11" s="14">
        <v>2.2305144686483156</v>
      </c>
      <c r="G11" s="14">
        <v>780.26474308333343</v>
      </c>
      <c r="H11" s="14">
        <v>780.26474308333343</v>
      </c>
    </row>
    <row r="12" spans="1:27" x14ac:dyDescent="0.25">
      <c r="A12" s="1">
        <v>500</v>
      </c>
      <c r="B12" s="1" t="s">
        <v>17</v>
      </c>
      <c r="C12" s="1">
        <v>1</v>
      </c>
      <c r="D12" s="14">
        <v>1933.17812</v>
      </c>
      <c r="E12" s="14">
        <v>0</v>
      </c>
      <c r="F12" s="14">
        <v>0</v>
      </c>
      <c r="G12" s="14">
        <v>1933.17812</v>
      </c>
      <c r="H12" s="14">
        <v>1933.17812</v>
      </c>
    </row>
    <row r="13" spans="1:27" x14ac:dyDescent="0.25">
      <c r="A13" s="1">
        <v>500</v>
      </c>
      <c r="B13" s="1" t="s">
        <v>32</v>
      </c>
      <c r="C13" s="1">
        <v>1</v>
      </c>
      <c r="D13" s="14">
        <v>1291.2765899999999</v>
      </c>
      <c r="E13" s="14">
        <v>0</v>
      </c>
      <c r="F13" s="14">
        <v>0</v>
      </c>
      <c r="G13" s="14">
        <v>1291.2765899999999</v>
      </c>
      <c r="H13" s="14">
        <v>1291.2765899999999</v>
      </c>
      <c r="O13" s="18"/>
    </row>
    <row r="14" spans="1:27" x14ac:dyDescent="0.25">
      <c r="A14" s="1">
        <v>500</v>
      </c>
      <c r="B14" s="1" t="s">
        <v>18</v>
      </c>
      <c r="C14" s="1">
        <v>120</v>
      </c>
      <c r="D14" s="14">
        <v>1907.5553800833334</v>
      </c>
      <c r="E14" s="14">
        <v>48.417017096400599</v>
      </c>
      <c r="F14" s="14">
        <v>4.419848738468648</v>
      </c>
      <c r="G14" s="14">
        <v>1907.5553800833334</v>
      </c>
      <c r="H14" s="14">
        <v>1907.5553800833334</v>
      </c>
    </row>
    <row r="15" spans="1:27" x14ac:dyDescent="0.25">
      <c r="A15" s="1">
        <v>500</v>
      </c>
      <c r="B15" s="1" t="s">
        <v>33</v>
      </c>
      <c r="C15" s="1">
        <v>120</v>
      </c>
      <c r="D15" s="14">
        <v>1932.3896008333313</v>
      </c>
      <c r="E15" s="14">
        <v>1.4674193590994287</v>
      </c>
      <c r="F15" s="14">
        <v>0.13395644738308846</v>
      </c>
      <c r="G15" s="14">
        <v>1932.3896008333313</v>
      </c>
      <c r="H15" s="14">
        <v>1932.3896008333313</v>
      </c>
    </row>
    <row r="16" spans="1:27" x14ac:dyDescent="0.25">
      <c r="A16" s="1">
        <v>500</v>
      </c>
      <c r="B16" s="1" t="s">
        <v>34</v>
      </c>
      <c r="C16" s="1">
        <v>120</v>
      </c>
      <c r="D16" s="14">
        <v>1377.2489570833336</v>
      </c>
      <c r="E16" s="14">
        <v>10.549255217806893</v>
      </c>
      <c r="F16" s="14">
        <v>0.96301084127865155</v>
      </c>
      <c r="G16" s="14">
        <v>1377.2489570833336</v>
      </c>
      <c r="H16" s="14">
        <v>1377.2489570833336</v>
      </c>
    </row>
    <row r="24" spans="5:8" x14ac:dyDescent="0.25">
      <c r="H24" s="18"/>
    </row>
    <row r="26" spans="5:8" x14ac:dyDescent="0.25">
      <c r="E26" s="18"/>
      <c r="F26" s="18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4A34-799C-4D1D-B3CC-52D1F6B35BAB}">
  <sheetPr codeName="Planilha5"/>
  <dimension ref="A1:W26"/>
  <sheetViews>
    <sheetView zoomScale="170" zoomScaleNormal="170" workbookViewId="0">
      <selection activeCell="O13" sqref="O13"/>
    </sheetView>
  </sheetViews>
  <sheetFormatPr defaultRowHeight="15.75" x14ac:dyDescent="0.25"/>
  <cols>
    <col min="1" max="1" width="12.7109375" style="17" bestFit="1" customWidth="1"/>
    <col min="2" max="2" width="21" style="17" bestFit="1" customWidth="1"/>
    <col min="3" max="3" width="4.42578125" style="17" bestFit="1" customWidth="1"/>
    <col min="4" max="4" width="14.5703125" style="17" bestFit="1" customWidth="1"/>
    <col min="5" max="5" width="15.28515625" style="17" bestFit="1" customWidth="1"/>
    <col min="6" max="6" width="13.5703125" style="17" bestFit="1" customWidth="1"/>
    <col min="7" max="8" width="14.5703125" style="17" bestFit="1" customWidth="1"/>
    <col min="9" max="9" width="2" style="17" bestFit="1" customWidth="1"/>
    <col min="10" max="10" width="11" style="17" bestFit="1" customWidth="1"/>
    <col min="11" max="13" width="9.5703125" style="17" bestFit="1" customWidth="1"/>
    <col min="14" max="16" width="14.5703125" style="17" bestFit="1" customWidth="1"/>
    <col min="17" max="18" width="9.5703125" style="17" bestFit="1" customWidth="1"/>
    <col min="19" max="19" width="13.28515625" style="17" bestFit="1" customWidth="1"/>
    <col min="20" max="20" width="2.28515625" style="17" bestFit="1" customWidth="1"/>
    <col min="21" max="22" width="9.28515625" style="17" bestFit="1" customWidth="1"/>
    <col min="23" max="23" width="12.85546875" style="17" bestFit="1" customWidth="1"/>
    <col min="24" max="16384" width="9.140625" style="17"/>
  </cols>
  <sheetData>
    <row r="1" spans="1:23" s="16" customFormat="1" x14ac:dyDescent="0.25">
      <c r="A1" s="13" t="s">
        <v>24</v>
      </c>
      <c r="B1" s="13" t="s">
        <v>26</v>
      </c>
      <c r="C1" s="13" t="s">
        <v>48</v>
      </c>
      <c r="D1" s="13" t="s">
        <v>27</v>
      </c>
      <c r="E1" s="13" t="s">
        <v>28</v>
      </c>
      <c r="F1" s="13" t="s">
        <v>29</v>
      </c>
      <c r="G1" s="13" t="s">
        <v>30</v>
      </c>
      <c r="H1" s="13" t="s">
        <v>31</v>
      </c>
      <c r="J1" s="16" t="s">
        <v>41</v>
      </c>
      <c r="K1" s="17">
        <v>300</v>
      </c>
      <c r="L1" s="17">
        <v>400</v>
      </c>
      <c r="M1" s="17">
        <v>500</v>
      </c>
      <c r="N1" s="16" t="s">
        <v>45</v>
      </c>
      <c r="O1" s="16" t="s">
        <v>46</v>
      </c>
      <c r="P1" s="16" t="s">
        <v>47</v>
      </c>
      <c r="Q1" s="16" t="s">
        <v>42</v>
      </c>
      <c r="R1" s="16" t="s">
        <v>43</v>
      </c>
      <c r="S1" s="16" t="s">
        <v>44</v>
      </c>
      <c r="T1" s="16" t="s">
        <v>49</v>
      </c>
      <c r="U1" s="17">
        <v>300</v>
      </c>
      <c r="V1" s="17">
        <v>400</v>
      </c>
      <c r="W1" s="17">
        <v>500</v>
      </c>
    </row>
    <row r="2" spans="1:23" x14ac:dyDescent="0.25">
      <c r="A2" s="1">
        <v>300</v>
      </c>
      <c r="B2" s="1" t="s">
        <v>17</v>
      </c>
      <c r="C2" s="1">
        <v>1</v>
      </c>
      <c r="D2" s="14">
        <v>3.3199999999999999E-4</v>
      </c>
      <c r="E2" s="14">
        <v>0</v>
      </c>
      <c r="F2" s="14">
        <v>0</v>
      </c>
      <c r="G2" s="14">
        <v>3.3199999999999999E-4</v>
      </c>
      <c r="H2" s="14">
        <v>3.3199999999999999E-4</v>
      </c>
      <c r="Q2" s="24">
        <f>$D$3</f>
        <v>1.1519140000000001</v>
      </c>
      <c r="R2" s="24">
        <f>$D$8</f>
        <v>0.85419299999999998</v>
      </c>
      <c r="S2" s="24">
        <f>$D$13</f>
        <v>1200.032614</v>
      </c>
      <c r="U2" s="24"/>
    </row>
    <row r="3" spans="1:23" x14ac:dyDescent="0.25">
      <c r="A3" s="1">
        <v>300</v>
      </c>
      <c r="B3" s="1" t="s">
        <v>32</v>
      </c>
      <c r="C3" s="1">
        <v>1</v>
      </c>
      <c r="D3" s="14">
        <v>1.1519140000000001</v>
      </c>
      <c r="E3" s="14">
        <v>0</v>
      </c>
      <c r="F3" s="14">
        <v>0</v>
      </c>
      <c r="G3" s="14">
        <v>1.1519140000000001</v>
      </c>
      <c r="H3" s="14">
        <v>1.1519140000000001</v>
      </c>
      <c r="J3" s="16" t="s">
        <v>37</v>
      </c>
      <c r="K3" s="24">
        <f>$D$2</f>
        <v>3.3199999999999999E-4</v>
      </c>
      <c r="L3" s="24">
        <f>$D$7</f>
        <v>4.1199999999999999E-4</v>
      </c>
      <c r="M3" s="24">
        <f>$D$12</f>
        <v>5.4799999999999998E-4</v>
      </c>
      <c r="N3" s="25">
        <f>$E$2</f>
        <v>0</v>
      </c>
      <c r="O3" s="25">
        <f>$E$7</f>
        <v>0</v>
      </c>
      <c r="P3" s="25">
        <f>$E$12</f>
        <v>0</v>
      </c>
      <c r="Q3" s="24">
        <f t="shared" ref="Q3:Q7" si="0">$D$3</f>
        <v>1.1519140000000001</v>
      </c>
      <c r="R3" s="24">
        <f t="shared" ref="R3:R7" si="1">$D$8</f>
        <v>0.85419299999999998</v>
      </c>
      <c r="S3" s="24">
        <f t="shared" ref="S3:S7" si="2">$D$13</f>
        <v>1200.032614</v>
      </c>
      <c r="U3" s="30">
        <f xml:space="preserve"> 1 - (K3/Q3)</f>
        <v>0.9997117840394335</v>
      </c>
      <c r="V3" s="30">
        <f t="shared" ref="V3:W6" si="3" xml:space="preserve"> 1 - (L3/R3)</f>
        <v>0.99951767340636133</v>
      </c>
      <c r="W3" s="34">
        <f t="shared" si="3"/>
        <v>0.99999954334574448</v>
      </c>
    </row>
    <row r="4" spans="1:23" x14ac:dyDescent="0.25">
      <c r="A4" s="1">
        <v>300</v>
      </c>
      <c r="B4" s="1" t="s">
        <v>18</v>
      </c>
      <c r="C4" s="1">
        <v>120</v>
      </c>
      <c r="D4" s="14">
        <v>2.0725000000000009E-5</v>
      </c>
      <c r="E4" s="14">
        <v>4.8402418510308618E-6</v>
      </c>
      <c r="F4" s="14">
        <v>4.4185160759836049E-7</v>
      </c>
      <c r="G4" s="14">
        <v>2.0725000000000009E-5</v>
      </c>
      <c r="H4" s="14">
        <v>2.0725000000000009E-5</v>
      </c>
      <c r="J4" s="16" t="s">
        <v>38</v>
      </c>
      <c r="K4" s="24">
        <f>$D$4</f>
        <v>2.0725000000000009E-5</v>
      </c>
      <c r="L4" s="24">
        <f>$D$9</f>
        <v>2.5691666666666653E-5</v>
      </c>
      <c r="M4" s="24">
        <f>$D$14</f>
        <v>3.151666666666671E-5</v>
      </c>
      <c r="N4" s="25">
        <f>$E$4</f>
        <v>4.8402418510308618E-6</v>
      </c>
      <c r="O4" s="25">
        <f>$E$9</f>
        <v>1.3829443278764319E-6</v>
      </c>
      <c r="P4" s="25">
        <f>$E$14</f>
        <v>3.0869291622356735E-6</v>
      </c>
      <c r="Q4" s="24">
        <f t="shared" si="0"/>
        <v>1.1519140000000001</v>
      </c>
      <c r="R4" s="24">
        <f t="shared" si="1"/>
        <v>0.85419299999999998</v>
      </c>
      <c r="S4" s="24">
        <f t="shared" si="2"/>
        <v>1200.032614</v>
      </c>
      <c r="U4" s="30">
        <f xml:space="preserve"> 1 - (K4/Q4)</f>
        <v>0.99998200820547367</v>
      </c>
      <c r="V4" s="30">
        <f t="shared" si="3"/>
        <v>0.99996992287847519</v>
      </c>
      <c r="W4" s="34">
        <f t="shared" si="3"/>
        <v>0.99999997373682492</v>
      </c>
    </row>
    <row r="5" spans="1:23" x14ac:dyDescent="0.25">
      <c r="A5" s="1">
        <v>300</v>
      </c>
      <c r="B5" s="1" t="s">
        <v>33</v>
      </c>
      <c r="C5" s="1">
        <v>120</v>
      </c>
      <c r="D5" s="14">
        <v>0.11145205833333335</v>
      </c>
      <c r="E5" s="14">
        <v>2.0715436711405766E-3</v>
      </c>
      <c r="F5" s="14">
        <v>1.8910519959012623E-4</v>
      </c>
      <c r="G5" s="14">
        <v>0.11145205833333335</v>
      </c>
      <c r="H5" s="14">
        <v>0.11145205833333335</v>
      </c>
      <c r="J5" s="16" t="s">
        <v>39</v>
      </c>
      <c r="K5" s="24">
        <f>$D$5</f>
        <v>0.11145205833333335</v>
      </c>
      <c r="L5" s="24">
        <f>$D$10</f>
        <v>0.13444491666666666</v>
      </c>
      <c r="M5" s="24">
        <f>$D$15</f>
        <v>0.16150917500000006</v>
      </c>
      <c r="N5" s="25">
        <f>$E$5</f>
        <v>2.0715436711405766E-3</v>
      </c>
      <c r="O5" s="25">
        <f>$E$10</f>
        <v>1.7626573406536573E-3</v>
      </c>
      <c r="P5" s="25">
        <f>$E$15</f>
        <v>1.4328109920242597E-3</v>
      </c>
      <c r="Q5" s="24">
        <f t="shared" si="0"/>
        <v>1.1519140000000001</v>
      </c>
      <c r="R5" s="24">
        <f t="shared" si="1"/>
        <v>0.85419299999999998</v>
      </c>
      <c r="S5" s="24">
        <f t="shared" si="2"/>
        <v>1200.032614</v>
      </c>
      <c r="U5" s="30">
        <f xml:space="preserve"> 1 - (K5/Q5)</f>
        <v>0.9032461986456165</v>
      </c>
      <c r="V5" s="30">
        <f t="shared" si="3"/>
        <v>0.84260592551488167</v>
      </c>
      <c r="W5" s="34">
        <f t="shared" si="3"/>
        <v>0.99986541267869244</v>
      </c>
    </row>
    <row r="6" spans="1:23" x14ac:dyDescent="0.25">
      <c r="A6" s="1">
        <v>300</v>
      </c>
      <c r="B6" s="1" t="s">
        <v>34</v>
      </c>
      <c r="C6" s="1">
        <v>120</v>
      </c>
      <c r="D6" s="14">
        <v>0.15498055833333335</v>
      </c>
      <c r="E6" s="14">
        <v>4.109507890953895E-3</v>
      </c>
      <c r="F6" s="14">
        <v>3.7514502868682143E-4</v>
      </c>
      <c r="G6" s="14">
        <v>0.15498055833333335</v>
      </c>
      <c r="H6" s="14">
        <v>0.15498055833333335</v>
      </c>
      <c r="J6" s="16" t="s">
        <v>40</v>
      </c>
      <c r="K6" s="24">
        <f>$D$6</f>
        <v>0.15498055833333335</v>
      </c>
      <c r="L6" s="24">
        <f>$D$11</f>
        <v>0.17473835000000001</v>
      </c>
      <c r="M6" s="24">
        <f>$D$16</f>
        <v>0.20879794999999998</v>
      </c>
      <c r="N6" s="25">
        <f>$E$6</f>
        <v>4.109507890953895E-3</v>
      </c>
      <c r="O6" s="25">
        <f>$E$11</f>
        <v>3.2217517408751292E-3</v>
      </c>
      <c r="P6" s="25">
        <f>$E$16</f>
        <v>5.6288081083092582E-3</v>
      </c>
      <c r="Q6" s="24">
        <f t="shared" si="0"/>
        <v>1.1519140000000001</v>
      </c>
      <c r="R6" s="24">
        <f t="shared" si="1"/>
        <v>0.85419299999999998</v>
      </c>
      <c r="S6" s="24">
        <f t="shared" si="2"/>
        <v>1200.032614</v>
      </c>
      <c r="U6" s="30">
        <f xml:space="preserve"> 1 - (K6/Q6)</f>
        <v>0.86545822141814988</v>
      </c>
      <c r="V6" s="30">
        <f t="shared" si="3"/>
        <v>0.79543457977295529</v>
      </c>
      <c r="W6" s="34">
        <f t="shared" si="3"/>
        <v>0.99982600643718833</v>
      </c>
    </row>
    <row r="7" spans="1:23" x14ac:dyDescent="0.25">
      <c r="A7" s="1">
        <v>400</v>
      </c>
      <c r="B7" s="1" t="s">
        <v>17</v>
      </c>
      <c r="C7" s="1">
        <v>1</v>
      </c>
      <c r="D7" s="14">
        <v>4.1199999999999999E-4</v>
      </c>
      <c r="E7" s="14">
        <v>0</v>
      </c>
      <c r="F7" s="14">
        <v>0</v>
      </c>
      <c r="G7" s="14">
        <v>4.1199999999999999E-4</v>
      </c>
      <c r="H7" s="14">
        <v>4.1199999999999999E-4</v>
      </c>
      <c r="J7" s="16"/>
      <c r="Q7" s="24">
        <f t="shared" si="0"/>
        <v>1.1519140000000001</v>
      </c>
      <c r="R7" s="24">
        <f t="shared" si="1"/>
        <v>0.85419299999999998</v>
      </c>
      <c r="S7" s="24">
        <f t="shared" si="2"/>
        <v>1200.032614</v>
      </c>
    </row>
    <row r="8" spans="1:23" x14ac:dyDescent="0.25">
      <c r="A8" s="1">
        <v>400</v>
      </c>
      <c r="B8" s="1" t="s">
        <v>32</v>
      </c>
      <c r="C8" s="1">
        <v>1</v>
      </c>
      <c r="D8" s="14">
        <v>0.85419299999999998</v>
      </c>
      <c r="E8" s="14">
        <v>0</v>
      </c>
      <c r="F8" s="14">
        <v>0</v>
      </c>
      <c r="G8" s="14">
        <v>0.85419299999999998</v>
      </c>
      <c r="H8" s="14">
        <v>0.85419299999999998</v>
      </c>
    </row>
    <row r="9" spans="1:23" x14ac:dyDescent="0.25">
      <c r="A9" s="1">
        <v>400</v>
      </c>
      <c r="B9" s="1" t="s">
        <v>18</v>
      </c>
      <c r="C9" s="1">
        <v>120</v>
      </c>
      <c r="D9" s="14">
        <v>2.5691666666666653E-5</v>
      </c>
      <c r="E9" s="14">
        <v>1.3829443278764319E-6</v>
      </c>
      <c r="F9" s="14">
        <v>1.2624496735862371E-7</v>
      </c>
      <c r="G9" s="14">
        <v>2.5691666666666653E-5</v>
      </c>
      <c r="H9" s="14">
        <v>2.5691666666666653E-5</v>
      </c>
    </row>
    <row r="10" spans="1:23" x14ac:dyDescent="0.25">
      <c r="A10" s="1">
        <v>400</v>
      </c>
      <c r="B10" s="1" t="s">
        <v>33</v>
      </c>
      <c r="C10" s="1">
        <v>120</v>
      </c>
      <c r="D10" s="14">
        <v>0.13444491666666666</v>
      </c>
      <c r="E10" s="14">
        <v>1.7626573406536573E-3</v>
      </c>
      <c r="F10" s="14">
        <v>1.6090786443801266E-4</v>
      </c>
      <c r="G10" s="14">
        <v>0.13444491666666666</v>
      </c>
      <c r="H10" s="14">
        <v>0.13444491666666666</v>
      </c>
    </row>
    <row r="11" spans="1:23" x14ac:dyDescent="0.25">
      <c r="A11" s="1">
        <v>400</v>
      </c>
      <c r="B11" s="1" t="s">
        <v>34</v>
      </c>
      <c r="C11" s="1">
        <v>120</v>
      </c>
      <c r="D11" s="14">
        <v>0.17473835000000001</v>
      </c>
      <c r="E11" s="14">
        <v>3.2217517408751292E-3</v>
      </c>
      <c r="F11" s="14">
        <v>2.9410435052647449E-4</v>
      </c>
      <c r="G11" s="14">
        <v>0.17473835000000001</v>
      </c>
      <c r="H11" s="14">
        <v>0.17473835000000001</v>
      </c>
    </row>
    <row r="12" spans="1:23" x14ac:dyDescent="0.25">
      <c r="A12" s="1">
        <v>500</v>
      </c>
      <c r="B12" s="1" t="s">
        <v>17</v>
      </c>
      <c r="C12" s="1">
        <v>1</v>
      </c>
      <c r="D12" s="14">
        <v>5.4799999999999998E-4</v>
      </c>
      <c r="E12" s="14">
        <v>0</v>
      </c>
      <c r="F12" s="14">
        <v>0</v>
      </c>
      <c r="G12" s="14">
        <v>5.4799999999999998E-4</v>
      </c>
      <c r="H12" s="14">
        <v>5.4799999999999998E-4</v>
      </c>
    </row>
    <row r="13" spans="1:23" x14ac:dyDescent="0.25">
      <c r="A13" s="1">
        <v>500</v>
      </c>
      <c r="B13" s="1" t="s">
        <v>32</v>
      </c>
      <c r="C13" s="1">
        <v>1</v>
      </c>
      <c r="D13" s="14">
        <v>1200.032614</v>
      </c>
      <c r="E13" s="14">
        <v>0</v>
      </c>
      <c r="F13" s="14">
        <v>0</v>
      </c>
      <c r="G13" s="14">
        <v>1200.032614</v>
      </c>
      <c r="H13" s="14">
        <v>1200.032614</v>
      </c>
    </row>
    <row r="14" spans="1:23" x14ac:dyDescent="0.25">
      <c r="A14" s="1">
        <v>500</v>
      </c>
      <c r="B14" s="1" t="s">
        <v>18</v>
      </c>
      <c r="C14" s="1">
        <v>120</v>
      </c>
      <c r="D14" s="14">
        <v>3.151666666666671E-5</v>
      </c>
      <c r="E14" s="14">
        <v>3.0869291622356735E-6</v>
      </c>
      <c r="F14" s="14">
        <v>2.8179678926283384E-7</v>
      </c>
      <c r="G14" s="14">
        <v>3.151666666666671E-5</v>
      </c>
      <c r="H14" s="14">
        <v>3.151666666666671E-5</v>
      </c>
    </row>
    <row r="15" spans="1:23" x14ac:dyDescent="0.25">
      <c r="A15" s="1">
        <v>500</v>
      </c>
      <c r="B15" s="1" t="s">
        <v>33</v>
      </c>
      <c r="C15" s="1">
        <v>120</v>
      </c>
      <c r="D15" s="14">
        <v>0.16150917500000006</v>
      </c>
      <c r="E15" s="14">
        <v>1.4328109920242597E-3</v>
      </c>
      <c r="F15" s="14">
        <v>1.3079715016217362E-4</v>
      </c>
      <c r="G15" s="14">
        <v>0.16150917500000006</v>
      </c>
      <c r="H15" s="14">
        <v>0.16150917500000006</v>
      </c>
    </row>
    <row r="16" spans="1:23" x14ac:dyDescent="0.25">
      <c r="A16" s="1">
        <v>500</v>
      </c>
      <c r="B16" s="1" t="s">
        <v>34</v>
      </c>
      <c r="C16" s="1">
        <v>120</v>
      </c>
      <c r="D16" s="14">
        <v>0.20879794999999998</v>
      </c>
      <c r="E16" s="14">
        <v>5.6288081083092582E-3</v>
      </c>
      <c r="F16" s="14">
        <v>5.1383752879816049E-4</v>
      </c>
      <c r="G16" s="14">
        <v>0.20879794999999998</v>
      </c>
      <c r="H16" s="14">
        <v>0.20879794999999998</v>
      </c>
    </row>
    <row r="26" spans="6:6" x14ac:dyDescent="0.25">
      <c r="F26" s="18"/>
    </row>
  </sheetData>
  <phoneticPr fontId="1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E1088-9769-41DF-89BD-EE8820DFA117}">
  <sheetPr codeName="Planilha8"/>
  <dimension ref="A1:S37"/>
  <sheetViews>
    <sheetView tabSelected="1" zoomScale="170" zoomScaleNormal="170" workbookViewId="0">
      <selection activeCell="O11" sqref="O11"/>
    </sheetView>
  </sheetViews>
  <sheetFormatPr defaultRowHeight="15.75" x14ac:dyDescent="0.25"/>
  <cols>
    <col min="1" max="1" width="13" style="17" bestFit="1" customWidth="1"/>
    <col min="2" max="2" width="20.85546875" style="17" bestFit="1" customWidth="1"/>
    <col min="3" max="3" width="4.5703125" style="17" bestFit="1" customWidth="1"/>
    <col min="4" max="4" width="13.28515625" style="17" bestFit="1" customWidth="1"/>
    <col min="5" max="5" width="15.7109375" style="17" bestFit="1" customWidth="1"/>
    <col min="6" max="6" width="13.7109375" style="17" bestFit="1" customWidth="1"/>
    <col min="7" max="8" width="13.28515625" style="17" bestFit="1" customWidth="1"/>
    <col min="9" max="9" width="2" style="17" bestFit="1" customWidth="1"/>
    <col min="10" max="10" width="11" style="17" bestFit="1" customWidth="1"/>
    <col min="11" max="13" width="12.140625" style="17" bestFit="1" customWidth="1"/>
    <col min="14" max="16" width="9.85546875" style="17" bestFit="1" customWidth="1"/>
    <col min="17" max="19" width="12.140625" style="17" bestFit="1" customWidth="1"/>
    <col min="20" max="20" width="2.28515625" style="17" bestFit="1" customWidth="1"/>
    <col min="21" max="21" width="19.7109375" style="17" bestFit="1" customWidth="1"/>
    <col min="22" max="22" width="12" style="17" bestFit="1" customWidth="1"/>
    <col min="23" max="16384" width="9.140625" style="17"/>
  </cols>
  <sheetData>
    <row r="1" spans="1:19" s="16" customFormat="1" x14ac:dyDescent="0.25">
      <c r="A1" s="13" t="s">
        <v>24</v>
      </c>
      <c r="B1" s="13" t="s">
        <v>26</v>
      </c>
      <c r="C1" s="13" t="s">
        <v>48</v>
      </c>
      <c r="D1" s="13" t="s">
        <v>27</v>
      </c>
      <c r="E1" s="13" t="s">
        <v>28</v>
      </c>
      <c r="F1" s="13" t="s">
        <v>29</v>
      </c>
      <c r="G1" s="13" t="s">
        <v>30</v>
      </c>
      <c r="H1" s="13" t="s">
        <v>31</v>
      </c>
      <c r="J1" s="16" t="s">
        <v>41</v>
      </c>
      <c r="K1" s="17">
        <v>300</v>
      </c>
      <c r="L1" s="17">
        <v>400</v>
      </c>
      <c r="M1" s="17">
        <v>500</v>
      </c>
      <c r="N1" s="16" t="s">
        <v>45</v>
      </c>
      <c r="O1" s="16" t="s">
        <v>46</v>
      </c>
      <c r="P1" s="16" t="s">
        <v>47</v>
      </c>
      <c r="Q1" s="16" t="s">
        <v>42</v>
      </c>
      <c r="R1" s="16" t="s">
        <v>43</v>
      </c>
      <c r="S1" s="16" t="s">
        <v>44</v>
      </c>
    </row>
    <row r="2" spans="1:19" x14ac:dyDescent="0.25">
      <c r="A2" s="1">
        <v>300</v>
      </c>
      <c r="B2" s="1" t="s">
        <v>17</v>
      </c>
      <c r="C2" s="1">
        <v>1</v>
      </c>
      <c r="D2" s="14">
        <v>122.591471</v>
      </c>
      <c r="E2" s="14">
        <v>0</v>
      </c>
      <c r="F2" s="14">
        <v>0</v>
      </c>
      <c r="G2" s="14">
        <v>122.591471</v>
      </c>
      <c r="H2" s="14">
        <v>122.591471</v>
      </c>
      <c r="Q2" s="24">
        <f>$D$3</f>
        <v>158.227225</v>
      </c>
      <c r="R2" s="24">
        <f>$D$8</f>
        <v>164.012844</v>
      </c>
      <c r="S2" s="24">
        <f>$D$13</f>
        <v>161.96032199999999</v>
      </c>
    </row>
    <row r="3" spans="1:19" x14ac:dyDescent="0.25">
      <c r="A3" s="1">
        <v>300</v>
      </c>
      <c r="B3" s="1" t="s">
        <v>32</v>
      </c>
      <c r="C3" s="1">
        <v>1</v>
      </c>
      <c r="D3" s="14">
        <v>158.227225</v>
      </c>
      <c r="E3" s="14">
        <v>0</v>
      </c>
      <c r="F3" s="14">
        <v>0</v>
      </c>
      <c r="G3" s="14">
        <v>158.227225</v>
      </c>
      <c r="H3" s="14">
        <v>158.227225</v>
      </c>
      <c r="J3" s="16" t="s">
        <v>37</v>
      </c>
      <c r="K3" s="24">
        <f>$D$2</f>
        <v>122.591471</v>
      </c>
      <c r="L3" s="24">
        <f>$D$7</f>
        <v>125.12968499999999</v>
      </c>
      <c r="M3" s="24">
        <f>$D$12</f>
        <v>126.069828</v>
      </c>
      <c r="N3" s="24">
        <f>$E$2</f>
        <v>0</v>
      </c>
      <c r="O3" s="24">
        <f>$E$7</f>
        <v>0</v>
      </c>
      <c r="P3" s="24">
        <f>$E$12</f>
        <v>0</v>
      </c>
      <c r="Q3" s="24">
        <f t="shared" ref="Q3:Q7" si="0">$D$3</f>
        <v>158.227225</v>
      </c>
      <c r="R3" s="24">
        <f t="shared" ref="R3:R7" si="1">$D$8</f>
        <v>164.012844</v>
      </c>
      <c r="S3" s="24">
        <f t="shared" ref="S3:S7" si="2">$D$13</f>
        <v>161.96032199999999</v>
      </c>
    </row>
    <row r="4" spans="1:19" x14ac:dyDescent="0.25">
      <c r="A4" s="1">
        <v>300</v>
      </c>
      <c r="B4" s="1" t="s">
        <v>18</v>
      </c>
      <c r="C4" s="1">
        <v>120</v>
      </c>
      <c r="D4" s="14">
        <v>150.95813385000005</v>
      </c>
      <c r="E4" s="14">
        <v>4.4535002350570894</v>
      </c>
      <c r="F4" s="14">
        <v>0.40654708976588788</v>
      </c>
      <c r="G4" s="14">
        <v>150.95813385000005</v>
      </c>
      <c r="H4" s="14">
        <v>150.95813385000005</v>
      </c>
      <c r="J4" s="16" t="s">
        <v>38</v>
      </c>
      <c r="K4" s="24">
        <f>$D$4</f>
        <v>150.95813385000005</v>
      </c>
      <c r="L4" s="24">
        <f>$D$9</f>
        <v>154.78920818333336</v>
      </c>
      <c r="M4" s="24">
        <f>$D$14</f>
        <v>156.08266947499996</v>
      </c>
      <c r="N4" s="24">
        <f>$E$4</f>
        <v>4.4535002350570894</v>
      </c>
      <c r="O4" s="24">
        <f>$E$9</f>
        <v>3.8179908257990554</v>
      </c>
      <c r="P4" s="24">
        <f>$E$14</f>
        <v>3.4462565066553013</v>
      </c>
      <c r="Q4" s="24">
        <f t="shared" si="0"/>
        <v>158.227225</v>
      </c>
      <c r="R4" s="24">
        <f t="shared" si="1"/>
        <v>164.012844</v>
      </c>
      <c r="S4" s="24">
        <f t="shared" si="2"/>
        <v>161.96032199999999</v>
      </c>
    </row>
    <row r="5" spans="1:19" x14ac:dyDescent="0.25">
      <c r="A5" s="1">
        <v>300</v>
      </c>
      <c r="B5" s="1" t="s">
        <v>33</v>
      </c>
      <c r="C5" s="1">
        <v>120</v>
      </c>
      <c r="D5" s="14">
        <v>122.73169619166656</v>
      </c>
      <c r="E5" s="14">
        <v>0.12810585101177241</v>
      </c>
      <c r="F5" s="14">
        <v>1.1694410724590626E-2</v>
      </c>
      <c r="G5" s="14">
        <v>122.73169619166656</v>
      </c>
      <c r="H5" s="14">
        <v>122.73169619166656</v>
      </c>
      <c r="J5" s="16" t="s">
        <v>39</v>
      </c>
      <c r="K5" s="24">
        <f>$D$5</f>
        <v>122.73169619166656</v>
      </c>
      <c r="L5" s="24">
        <f>$D$10</f>
        <v>124.79315779166664</v>
      </c>
      <c r="M5" s="24">
        <f>$D$15</f>
        <v>126.02958342499991</v>
      </c>
      <c r="N5" s="24">
        <f>$E$5</f>
        <v>0.12810585101177241</v>
      </c>
      <c r="O5" s="24">
        <f>$E$10</f>
        <v>0.15466324818219404</v>
      </c>
      <c r="P5" s="24">
        <f>$E$15</f>
        <v>9.4584025544197814E-2</v>
      </c>
      <c r="Q5" s="24">
        <f t="shared" si="0"/>
        <v>158.227225</v>
      </c>
      <c r="R5" s="24">
        <f t="shared" si="1"/>
        <v>164.012844</v>
      </c>
      <c r="S5" s="24">
        <f t="shared" si="2"/>
        <v>161.96032199999999</v>
      </c>
    </row>
    <row r="6" spans="1:19" x14ac:dyDescent="0.25">
      <c r="A6" s="1">
        <v>300</v>
      </c>
      <c r="B6" s="1" t="s">
        <v>34</v>
      </c>
      <c r="C6" s="1">
        <v>120</v>
      </c>
      <c r="D6" s="14">
        <v>161.821334525</v>
      </c>
      <c r="E6" s="14">
        <v>1.6875456004364</v>
      </c>
      <c r="F6" s="14">
        <v>0.15405113202960269</v>
      </c>
      <c r="G6" s="14">
        <v>161.821334525</v>
      </c>
      <c r="H6" s="14">
        <v>161.821334525</v>
      </c>
      <c r="J6" s="16" t="s">
        <v>40</v>
      </c>
      <c r="K6" s="24">
        <f>$D$6</f>
        <v>161.821334525</v>
      </c>
      <c r="L6" s="24">
        <f>$D$11</f>
        <v>156.82294432500001</v>
      </c>
      <c r="M6" s="24">
        <f>$D$16</f>
        <v>152.67388125833335</v>
      </c>
      <c r="N6" s="24">
        <f>$E$6</f>
        <v>1.6875456004364</v>
      </c>
      <c r="O6" s="24">
        <f>$E$11</f>
        <v>1.7200519884351348</v>
      </c>
      <c r="P6" s="24">
        <f>$E$16</f>
        <v>1.327895188181041</v>
      </c>
      <c r="Q6" s="24">
        <f t="shared" si="0"/>
        <v>158.227225</v>
      </c>
      <c r="R6" s="24">
        <f t="shared" si="1"/>
        <v>164.012844</v>
      </c>
      <c r="S6" s="24">
        <f t="shared" si="2"/>
        <v>161.96032199999999</v>
      </c>
    </row>
    <row r="7" spans="1:19" x14ac:dyDescent="0.25">
      <c r="A7" s="1">
        <v>400</v>
      </c>
      <c r="B7" s="1" t="s">
        <v>17</v>
      </c>
      <c r="C7" s="1">
        <v>1</v>
      </c>
      <c r="D7" s="14">
        <v>125.12968499999999</v>
      </c>
      <c r="E7" s="14">
        <v>0</v>
      </c>
      <c r="F7" s="14">
        <v>0</v>
      </c>
      <c r="G7" s="14">
        <v>125.12968499999999</v>
      </c>
      <c r="H7" s="14">
        <v>125.12968499999999</v>
      </c>
      <c r="J7" s="16"/>
      <c r="Q7" s="24">
        <f t="shared" si="0"/>
        <v>158.227225</v>
      </c>
      <c r="R7" s="24">
        <f t="shared" si="1"/>
        <v>164.012844</v>
      </c>
      <c r="S7" s="24">
        <f t="shared" si="2"/>
        <v>161.96032199999999</v>
      </c>
    </row>
    <row r="8" spans="1:19" x14ac:dyDescent="0.25">
      <c r="A8" s="1">
        <v>400</v>
      </c>
      <c r="B8" s="1" t="s">
        <v>32</v>
      </c>
      <c r="C8" s="1">
        <v>1</v>
      </c>
      <c r="D8" s="14">
        <v>164.012844</v>
      </c>
      <c r="E8" s="14">
        <v>0</v>
      </c>
      <c r="F8" s="14">
        <v>0</v>
      </c>
      <c r="G8" s="14">
        <v>164.012844</v>
      </c>
      <c r="H8" s="14">
        <v>164.012844</v>
      </c>
      <c r="J8"/>
      <c r="K8"/>
      <c r="L8"/>
      <c r="M8"/>
      <c r="N8"/>
    </row>
    <row r="9" spans="1:19" x14ac:dyDescent="0.25">
      <c r="A9" s="1">
        <v>400</v>
      </c>
      <c r="B9" s="1" t="s">
        <v>18</v>
      </c>
      <c r="C9" s="1">
        <v>120</v>
      </c>
      <c r="D9" s="14">
        <v>154.78920818333336</v>
      </c>
      <c r="E9" s="14">
        <v>3.8179908257990554</v>
      </c>
      <c r="F9" s="14">
        <v>0.3485332832729866</v>
      </c>
      <c r="G9" s="14">
        <v>154.78920818333336</v>
      </c>
      <c r="H9" s="14">
        <v>154.78920818333336</v>
      </c>
      <c r="J9"/>
      <c r="K9"/>
      <c r="L9"/>
      <c r="M9"/>
      <c r="N9"/>
    </row>
    <row r="10" spans="1:19" x14ac:dyDescent="0.25">
      <c r="A10" s="1">
        <v>400</v>
      </c>
      <c r="B10" s="1" t="s">
        <v>33</v>
      </c>
      <c r="C10" s="1">
        <v>120</v>
      </c>
      <c r="D10" s="14">
        <v>124.79315779166664</v>
      </c>
      <c r="E10" s="14">
        <v>0.15466324818219404</v>
      </c>
      <c r="F10" s="14">
        <v>1.4118758307734592E-2</v>
      </c>
      <c r="G10" s="14">
        <v>124.79315779166664</v>
      </c>
      <c r="H10" s="14">
        <v>124.79315779166664</v>
      </c>
      <c r="J10"/>
      <c r="K10"/>
      <c r="L10"/>
    </row>
    <row r="11" spans="1:19" x14ac:dyDescent="0.25">
      <c r="A11" s="1">
        <v>400</v>
      </c>
      <c r="B11" s="1" t="s">
        <v>34</v>
      </c>
      <c r="C11" s="1">
        <v>120</v>
      </c>
      <c r="D11" s="14">
        <v>156.82294432500001</v>
      </c>
      <c r="E11" s="14">
        <v>1.7200519884351348</v>
      </c>
      <c r="F11" s="14">
        <v>0.15701854569125642</v>
      </c>
      <c r="G11" s="14">
        <v>156.82294432500001</v>
      </c>
      <c r="H11" s="14">
        <v>156.82294432500001</v>
      </c>
      <c r="J11"/>
      <c r="K11"/>
      <c r="L11"/>
    </row>
    <row r="12" spans="1:19" x14ac:dyDescent="0.25">
      <c r="A12" s="1">
        <v>500</v>
      </c>
      <c r="B12" s="1" t="s">
        <v>17</v>
      </c>
      <c r="C12" s="1">
        <v>1</v>
      </c>
      <c r="D12" s="14">
        <v>126.069828</v>
      </c>
      <c r="E12" s="14">
        <v>0</v>
      </c>
      <c r="F12" s="14">
        <v>0</v>
      </c>
      <c r="G12" s="14">
        <v>126.069828</v>
      </c>
      <c r="H12" s="14">
        <v>126.069828</v>
      </c>
      <c r="J12"/>
      <c r="K12"/>
      <c r="L12"/>
    </row>
    <row r="13" spans="1:19" x14ac:dyDescent="0.25">
      <c r="A13" s="1">
        <v>500</v>
      </c>
      <c r="B13" s="1" t="s">
        <v>32</v>
      </c>
      <c r="C13" s="1">
        <v>1</v>
      </c>
      <c r="D13" s="14">
        <v>161.96032199999999</v>
      </c>
      <c r="E13" s="14">
        <v>0</v>
      </c>
      <c r="F13" s="14">
        <v>0</v>
      </c>
      <c r="G13" s="14">
        <v>161.96032199999999</v>
      </c>
      <c r="H13" s="14">
        <v>161.96032199999999</v>
      </c>
      <c r="J13"/>
      <c r="K13"/>
      <c r="L13"/>
    </row>
    <row r="14" spans="1:19" x14ac:dyDescent="0.25">
      <c r="A14" s="1">
        <v>500</v>
      </c>
      <c r="B14" s="1" t="s">
        <v>18</v>
      </c>
      <c r="C14" s="1">
        <v>120</v>
      </c>
      <c r="D14" s="14">
        <v>156.08266947499996</v>
      </c>
      <c r="E14" s="14">
        <v>3.4462565066553013</v>
      </c>
      <c r="F14" s="14">
        <v>0.31459873794067683</v>
      </c>
      <c r="G14" s="14">
        <v>156.08266947499996</v>
      </c>
      <c r="H14" s="14">
        <v>156.08266947499996</v>
      </c>
      <c r="J14"/>
      <c r="K14"/>
      <c r="L14"/>
    </row>
    <row r="15" spans="1:19" x14ac:dyDescent="0.25">
      <c r="A15" s="1">
        <v>500</v>
      </c>
      <c r="B15" s="1" t="s">
        <v>33</v>
      </c>
      <c r="C15" s="1">
        <v>120</v>
      </c>
      <c r="D15" s="14">
        <v>126.02958342499991</v>
      </c>
      <c r="E15" s="14">
        <v>9.4584025544197814E-2</v>
      </c>
      <c r="F15" s="14">
        <v>8.6343007283669979E-3</v>
      </c>
      <c r="G15" s="14">
        <v>126.02958342499991</v>
      </c>
      <c r="H15" s="14">
        <v>126.02958342499991</v>
      </c>
      <c r="J15"/>
      <c r="K15"/>
      <c r="L15"/>
    </row>
    <row r="16" spans="1:19" x14ac:dyDescent="0.25">
      <c r="A16" s="1">
        <v>500</v>
      </c>
      <c r="B16" s="1" t="s">
        <v>34</v>
      </c>
      <c r="C16" s="1">
        <v>120</v>
      </c>
      <c r="D16" s="14">
        <v>152.67388125833335</v>
      </c>
      <c r="E16" s="14">
        <v>1.327895188181041</v>
      </c>
      <c r="F16" s="14">
        <v>0.1212196914282206</v>
      </c>
      <c r="G16" s="14">
        <v>152.67388125833335</v>
      </c>
      <c r="H16" s="14">
        <v>152.67388125833335</v>
      </c>
      <c r="J16"/>
      <c r="K16"/>
      <c r="L16"/>
    </row>
    <row r="17" spans="1:12" x14ac:dyDescent="0.25">
      <c r="J17"/>
      <c r="K17"/>
      <c r="L17"/>
    </row>
    <row r="18" spans="1:12" x14ac:dyDescent="0.25">
      <c r="A18"/>
      <c r="B18"/>
      <c r="C18"/>
      <c r="D18"/>
      <c r="E18"/>
      <c r="F18"/>
      <c r="G18"/>
      <c r="J18"/>
      <c r="K18"/>
      <c r="L18"/>
    </row>
    <row r="19" spans="1:12" x14ac:dyDescent="0.25">
      <c r="A19"/>
      <c r="B19"/>
      <c r="C19"/>
      <c r="D19"/>
      <c r="E19"/>
      <c r="F19"/>
      <c r="G19"/>
      <c r="J19"/>
      <c r="K19"/>
      <c r="L19"/>
    </row>
    <row r="20" spans="1:12" x14ac:dyDescent="0.25">
      <c r="A20"/>
      <c r="B20"/>
      <c r="C20"/>
      <c r="D20"/>
      <c r="E20"/>
      <c r="F20"/>
      <c r="G20"/>
    </row>
    <row r="21" spans="1:12" x14ac:dyDescent="0.25">
      <c r="A21"/>
      <c r="B21"/>
      <c r="C21"/>
      <c r="D21"/>
      <c r="E21"/>
      <c r="F21"/>
      <c r="G21"/>
    </row>
    <row r="22" spans="1:12" x14ac:dyDescent="0.25">
      <c r="A22"/>
      <c r="B22"/>
      <c r="C22"/>
      <c r="D22"/>
      <c r="E22"/>
      <c r="F22"/>
      <c r="G22"/>
    </row>
    <row r="23" spans="1:12" x14ac:dyDescent="0.25">
      <c r="A23"/>
      <c r="B23"/>
      <c r="C23"/>
      <c r="D23"/>
      <c r="E23"/>
      <c r="F23"/>
      <c r="G23"/>
    </row>
    <row r="24" spans="1:12" x14ac:dyDescent="0.25">
      <c r="A24"/>
      <c r="B24"/>
      <c r="C24"/>
      <c r="D24"/>
      <c r="E24"/>
      <c r="F24"/>
    </row>
    <row r="25" spans="1:12" x14ac:dyDescent="0.25">
      <c r="A25"/>
      <c r="B25"/>
      <c r="C25"/>
      <c r="D25"/>
      <c r="E25"/>
      <c r="F25"/>
    </row>
    <row r="26" spans="1:12" x14ac:dyDescent="0.25">
      <c r="A26"/>
      <c r="B26"/>
      <c r="C26"/>
      <c r="D26"/>
      <c r="F26" s="18"/>
    </row>
    <row r="27" spans="1:12" x14ac:dyDescent="0.25">
      <c r="A27"/>
      <c r="B27"/>
      <c r="C27"/>
      <c r="D27"/>
    </row>
    <row r="28" spans="1:12" x14ac:dyDescent="0.25">
      <c r="A28"/>
      <c r="B28"/>
      <c r="C28"/>
      <c r="D28"/>
    </row>
    <row r="29" spans="1:12" x14ac:dyDescent="0.25">
      <c r="A29"/>
      <c r="B29"/>
      <c r="C29"/>
      <c r="D29"/>
    </row>
    <row r="30" spans="1:12" x14ac:dyDescent="0.25">
      <c r="A30"/>
      <c r="B30"/>
      <c r="C30"/>
      <c r="D30"/>
    </row>
    <row r="31" spans="1:12" x14ac:dyDescent="0.25">
      <c r="A31"/>
      <c r="B31"/>
      <c r="C31"/>
      <c r="D31"/>
    </row>
    <row r="32" spans="1:12" x14ac:dyDescent="0.25">
      <c r="A32"/>
      <c r="B32"/>
      <c r="C32"/>
      <c r="D32"/>
    </row>
    <row r="33" spans="1:4" x14ac:dyDescent="0.25">
      <c r="A33"/>
      <c r="B33"/>
      <c r="C33"/>
      <c r="D33"/>
    </row>
    <row r="34" spans="1:4" x14ac:dyDescent="0.25">
      <c r="A34"/>
      <c r="B34"/>
      <c r="C34"/>
      <c r="D34"/>
    </row>
    <row r="35" spans="1:4" x14ac:dyDescent="0.25">
      <c r="A35"/>
      <c r="B35"/>
      <c r="C35"/>
      <c r="D35"/>
    </row>
    <row r="36" spans="1:4" x14ac:dyDescent="0.25">
      <c r="A36"/>
      <c r="B36"/>
    </row>
    <row r="37" spans="1:4" x14ac:dyDescent="0.25">
      <c r="A37"/>
      <c r="B37"/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773B9F-593F-418F-BA81-47A349F7E4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Heuristic</vt:lpstr>
      <vt:lpstr>MetaHeuristic</vt:lpstr>
      <vt:lpstr>Mathematical</vt:lpstr>
      <vt:lpstr>Controle</vt:lpstr>
      <vt:lpstr>Atendimento</vt:lpstr>
      <vt:lpstr>Custo Total</vt:lpstr>
      <vt:lpstr>Tempo de Execução</vt:lpstr>
      <vt:lpstr>TR médio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Bruninm</dc:creator>
  <cp:lastModifiedBy>Mr. Bruninm</cp:lastModifiedBy>
  <cp:lastPrinted>2025-08-28T03:38:10Z</cp:lastPrinted>
  <dcterms:created xsi:type="dcterms:W3CDTF">2025-08-26T05:09:59Z</dcterms:created>
  <dcterms:modified xsi:type="dcterms:W3CDTF">2025-09-08T00:52:53Z</dcterms:modified>
</cp:coreProperties>
</file>